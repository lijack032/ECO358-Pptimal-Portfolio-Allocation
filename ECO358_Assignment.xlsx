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kli/Downloads/"/>
    </mc:Choice>
  </mc:AlternateContent>
  <xr:revisionPtr revIDLastSave="0" documentId="13_ncr:1_{976642A8-89B1-5F4A-9CBA-489C7437B8F3}" xr6:coauthVersionLast="47" xr6:coauthVersionMax="47" xr10:uidLastSave="{00000000-0000-0000-0000-000000000000}"/>
  <bookViews>
    <workbookView xWindow="280" yWindow="860" windowWidth="36140" windowHeight="18740" firstSheet="3" activeTab="8" xr2:uid="{00000000-000D-0000-FFFF-FFFF00000000}"/>
  </bookViews>
  <sheets>
    <sheet name="WeeklyReturns" sheetId="1" r:id="rId1"/>
    <sheet name="T_Bills" sheetId="2" r:id="rId2"/>
    <sheet name="Stats_of_Stocks" sheetId="3" r:id="rId3"/>
    <sheet name="CoVar" sheetId="4" r:id="rId4"/>
    <sheet name="OptPortfolio" sheetId="5" r:id="rId5"/>
    <sheet name="Q2_WithShotSell" sheetId="7" r:id="rId6"/>
    <sheet name="Q3_Graph" sheetId="6" r:id="rId7"/>
    <sheet name="Q5_GMV_SolveWeights" sheetId="8" r:id="rId8"/>
    <sheet name="Q5_GMV_Graph" sheetId="9" r:id="rId9"/>
    <sheet name="Q6_NoShortSell" sheetId="10" r:id="rId10"/>
    <sheet name="Q6 Graph" sheetId="14" r:id="rId11"/>
    <sheet name="Q8_NoShortSell_Optimal_Portfoli" sheetId="11" r:id="rId12"/>
    <sheet name="Q9&amp;Q10_AllowingShortSell_Optima" sheetId="12" r:id="rId13"/>
    <sheet name="Q11_Certainty_Equivalent" sheetId="13" r:id="rId14"/>
  </sheets>
  <definedNames>
    <definedName name="solver_adj" localSheetId="4" hidden="1">OptPortfolio!$C$2:$C$7</definedName>
    <definedName name="solver_adj" localSheetId="5" hidden="1">Q2_WithShotSell!$B$2:$B$7</definedName>
    <definedName name="solver_adj" localSheetId="7" hidden="1">Q5_GMV_SolveWeights!$B$3:$B$8</definedName>
    <definedName name="solver_adj" localSheetId="9" hidden="1">Q6_NoShortSell!$B$2:$B$7</definedName>
    <definedName name="solver_cvg" localSheetId="4" hidden="1">0.0001</definedName>
    <definedName name="solver_cvg" localSheetId="5" hidden="1">0.0001</definedName>
    <definedName name="solver_cvg" localSheetId="7" hidden="1">0.0001</definedName>
    <definedName name="solver_cvg" localSheetId="9" hidden="1">0.0001</definedName>
    <definedName name="solver_drv" localSheetId="4" hidden="1">1</definedName>
    <definedName name="solver_drv" localSheetId="5" hidden="1">1</definedName>
    <definedName name="solver_drv" localSheetId="7" hidden="1">1</definedName>
    <definedName name="solver_drv" localSheetId="9" hidden="1">1</definedName>
    <definedName name="solver_eng" localSheetId="4" hidden="1">1</definedName>
    <definedName name="solver_eng" localSheetId="5" hidden="1">1</definedName>
    <definedName name="solver_eng" localSheetId="7" hidden="1">1</definedName>
    <definedName name="solver_eng" localSheetId="9" hidden="1">1</definedName>
    <definedName name="solver_est" localSheetId="5" hidden="1">1</definedName>
    <definedName name="solver_itr" localSheetId="4" hidden="1">2147483647</definedName>
    <definedName name="solver_itr" localSheetId="5" hidden="1">2147483647</definedName>
    <definedName name="solver_itr" localSheetId="7" hidden="1">2147483647</definedName>
    <definedName name="solver_itr" localSheetId="9" hidden="1">2147483647</definedName>
    <definedName name="solver_lhs1" localSheetId="4" hidden="1">OptPortfolio!$D$2</definedName>
    <definedName name="solver_lhs1" localSheetId="5" hidden="1">Q2_WithShotSell!$B$14</definedName>
    <definedName name="solver_lhs1" localSheetId="7" hidden="1">Q5_GMV_SolveWeights!$B$15</definedName>
    <definedName name="solver_lhs1" localSheetId="9" hidden="1">Q6_NoShortSell!$B$14</definedName>
    <definedName name="solver_lhs2" localSheetId="5" hidden="1">Q2_WithShotSell!$B$2:$B$7</definedName>
    <definedName name="solver_lin" localSheetId="4" hidden="1">2</definedName>
    <definedName name="solver_lin" localSheetId="7" hidden="1">2</definedName>
    <definedName name="solver_lin" localSheetId="9" hidden="1">2</definedName>
    <definedName name="solver_mip" localSheetId="4" hidden="1">2147483647</definedName>
    <definedName name="solver_mip" localSheetId="5" hidden="1">2147483647</definedName>
    <definedName name="solver_mip" localSheetId="7" hidden="1">2147483647</definedName>
    <definedName name="solver_mip" localSheetId="9" hidden="1">2147483647</definedName>
    <definedName name="solver_mni" localSheetId="4" hidden="1">30</definedName>
    <definedName name="solver_mni" localSheetId="5" hidden="1">30</definedName>
    <definedName name="solver_mni" localSheetId="7" hidden="1">30</definedName>
    <definedName name="solver_mni" localSheetId="9" hidden="1">30</definedName>
    <definedName name="solver_mrt" localSheetId="4" hidden="1">0.075</definedName>
    <definedName name="solver_mrt" localSheetId="5" hidden="1">0.075</definedName>
    <definedName name="solver_mrt" localSheetId="7" hidden="1">0.075</definedName>
    <definedName name="solver_mrt" localSheetId="9" hidden="1">0.075</definedName>
    <definedName name="solver_msl" localSheetId="4" hidden="1">2</definedName>
    <definedName name="solver_msl" localSheetId="5" hidden="1">2</definedName>
    <definedName name="solver_msl" localSheetId="7" hidden="1">2</definedName>
    <definedName name="solver_msl" localSheetId="9" hidden="1">2</definedName>
    <definedName name="solver_neg" localSheetId="4" hidden="1">2</definedName>
    <definedName name="solver_neg" localSheetId="5" hidden="1">2</definedName>
    <definedName name="solver_neg" localSheetId="7" hidden="1">2</definedName>
    <definedName name="solver_neg" localSheetId="9" hidden="1">1</definedName>
    <definedName name="solver_nod" localSheetId="4" hidden="1">2147483647</definedName>
    <definedName name="solver_nod" localSheetId="5" hidden="1">2147483647</definedName>
    <definedName name="solver_nod" localSheetId="7" hidden="1">2147483647</definedName>
    <definedName name="solver_nod" localSheetId="9" hidden="1">2147483647</definedName>
    <definedName name="solver_num" localSheetId="4" hidden="1">1</definedName>
    <definedName name="solver_num" localSheetId="5" hidden="1">1</definedName>
    <definedName name="solver_num" localSheetId="7" hidden="1">1</definedName>
    <definedName name="solver_num" localSheetId="9" hidden="1">1</definedName>
    <definedName name="solver_nwt" localSheetId="5" hidden="1">1</definedName>
    <definedName name="solver_opt" localSheetId="4" hidden="1">OptPortfolio!$B$14</definedName>
    <definedName name="solver_opt" localSheetId="5" hidden="1">Q2_WithShotSell!$B$13</definedName>
    <definedName name="solver_opt" localSheetId="7" hidden="1">Q5_GMV_SolveWeights!$B$12</definedName>
    <definedName name="solver_opt" localSheetId="9" hidden="1">Q6_NoShortSell!$B$13</definedName>
    <definedName name="solver_pre" localSheetId="4" hidden="1">0.000001</definedName>
    <definedName name="solver_pre" localSheetId="5" hidden="1">0.000001</definedName>
    <definedName name="solver_pre" localSheetId="7" hidden="1">0.000001</definedName>
    <definedName name="solver_pre" localSheetId="9" hidden="1">0.000001</definedName>
    <definedName name="solver_rbv" localSheetId="4" hidden="1">1</definedName>
    <definedName name="solver_rbv" localSheetId="5" hidden="1">1</definedName>
    <definedName name="solver_rbv" localSheetId="7" hidden="1">1</definedName>
    <definedName name="solver_rbv" localSheetId="9" hidden="1">1</definedName>
    <definedName name="solver_rel1" localSheetId="4" hidden="1">2</definedName>
    <definedName name="solver_rel1" localSheetId="5" hidden="1">2</definedName>
    <definedName name="solver_rel1" localSheetId="7" hidden="1">2</definedName>
    <definedName name="solver_rel1" localSheetId="9" hidden="1">2</definedName>
    <definedName name="solver_rel2" localSheetId="5" hidden="1">2</definedName>
    <definedName name="solver_rhs1" localSheetId="4" hidden="1">1</definedName>
    <definedName name="solver_rhs1" localSheetId="5" hidden="1">1</definedName>
    <definedName name="solver_rhs1" localSheetId="7" hidden="1">1</definedName>
    <definedName name="solver_rhs1" localSheetId="9" hidden="1">1</definedName>
    <definedName name="solver_rhs2" localSheetId="5" hidden="1">1</definedName>
    <definedName name="solver_rlx" localSheetId="4" hidden="1">1</definedName>
    <definedName name="solver_rlx" localSheetId="5" hidden="1">2</definedName>
    <definedName name="solver_rlx" localSheetId="7" hidden="1">1</definedName>
    <definedName name="solver_rlx" localSheetId="9" hidden="1">2</definedName>
    <definedName name="solver_rsd" localSheetId="4" hidden="1">0</definedName>
    <definedName name="solver_rsd" localSheetId="5" hidden="1">0</definedName>
    <definedName name="solver_rsd" localSheetId="7" hidden="1">0</definedName>
    <definedName name="solver_rsd" localSheetId="9" hidden="1">0</definedName>
    <definedName name="solver_scl" localSheetId="4" hidden="1">2</definedName>
    <definedName name="solver_scl" localSheetId="5" hidden="1">1</definedName>
    <definedName name="solver_scl" localSheetId="7" hidden="1">2</definedName>
    <definedName name="solver_scl" localSheetId="9" hidden="1">1</definedName>
    <definedName name="solver_sho" localSheetId="4" hidden="1">2</definedName>
    <definedName name="solver_sho" localSheetId="5" hidden="1">2</definedName>
    <definedName name="solver_sho" localSheetId="7" hidden="1">2</definedName>
    <definedName name="solver_sho" localSheetId="9" hidden="1">2</definedName>
    <definedName name="solver_ssz" localSheetId="4" hidden="1">100</definedName>
    <definedName name="solver_ssz" localSheetId="5" hidden="1">100</definedName>
    <definedName name="solver_ssz" localSheetId="7" hidden="1">100</definedName>
    <definedName name="solver_ssz" localSheetId="9" hidden="1">100</definedName>
    <definedName name="solver_tim" localSheetId="4" hidden="1">2147483647</definedName>
    <definedName name="solver_tim" localSheetId="5" hidden="1">2147483647</definedName>
    <definedName name="solver_tim" localSheetId="7" hidden="1">2147483647</definedName>
    <definedName name="solver_tim" localSheetId="9" hidden="1">2147483647</definedName>
    <definedName name="solver_tol" localSheetId="4" hidden="1">0.01</definedName>
    <definedName name="solver_tol" localSheetId="5" hidden="1">0.01</definedName>
    <definedName name="solver_tol" localSheetId="7" hidden="1">0.01</definedName>
    <definedName name="solver_tol" localSheetId="9" hidden="1">0.01</definedName>
    <definedName name="solver_typ" localSheetId="4" hidden="1">1</definedName>
    <definedName name="solver_typ" localSheetId="5" hidden="1">1</definedName>
    <definedName name="solver_typ" localSheetId="7" hidden="1">2</definedName>
    <definedName name="solver_typ" localSheetId="9" hidden="1">1</definedName>
    <definedName name="solver_val" localSheetId="4" hidden="1">0</definedName>
    <definedName name="solver_val" localSheetId="5" hidden="1">0</definedName>
    <definedName name="solver_val" localSheetId="7" hidden="1">0</definedName>
    <definedName name="solver_val" localSheetId="9" hidden="1">0</definedName>
    <definedName name="solver_ver" localSheetId="4" hidden="1">2</definedName>
    <definedName name="solver_ver" localSheetId="5" hidden="1">3</definedName>
    <definedName name="solver_ver" localSheetId="7" hidden="1">2</definedName>
    <definedName name="solver_ver" localSheetId="9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4" l="1"/>
  <c r="B10" i="14"/>
  <c r="C8" i="14"/>
  <c r="B8" i="14"/>
  <c r="C7" i="14"/>
  <c r="B7" i="14"/>
  <c r="C6" i="14"/>
  <c r="B6" i="14"/>
  <c r="C5" i="14"/>
  <c r="B5" i="14"/>
  <c r="C4" i="14"/>
  <c r="B4" i="14"/>
  <c r="C3" i="14"/>
  <c r="B3" i="14"/>
  <c r="C2" i="14"/>
  <c r="B2" i="14"/>
  <c r="B14" i="5"/>
  <c r="B9" i="5"/>
  <c r="B10" i="10"/>
  <c r="B3" i="7"/>
  <c r="B4" i="7"/>
  <c r="B5" i="7"/>
  <c r="B6" i="7"/>
  <c r="B7" i="7"/>
  <c r="B2" i="7"/>
  <c r="D2" i="5"/>
  <c r="A17" i="13"/>
  <c r="B12" i="12"/>
  <c r="B12" i="11"/>
  <c r="B14" i="10"/>
  <c r="B15" i="8"/>
  <c r="C5" i="9"/>
  <c r="C3" i="9"/>
  <c r="D7" i="3"/>
  <c r="C8" i="6" s="1"/>
  <c r="D6" i="3"/>
  <c r="C6" i="9" s="1"/>
  <c r="D5" i="3"/>
  <c r="C6" i="6" s="1"/>
  <c r="D4" i="3"/>
  <c r="C5" i="6" s="1"/>
  <c r="D3" i="3"/>
  <c r="C4" i="6" s="1"/>
  <c r="D2" i="3"/>
  <c r="C3" i="6" s="1"/>
  <c r="G7" i="4"/>
  <c r="G6" i="4"/>
  <c r="G5" i="4"/>
  <c r="G4" i="4"/>
  <c r="G3" i="4"/>
  <c r="G2" i="4"/>
  <c r="F7" i="4"/>
  <c r="F6" i="4"/>
  <c r="F5" i="4"/>
  <c r="F4" i="4"/>
  <c r="F3" i="4"/>
  <c r="F2" i="4"/>
  <c r="E7" i="4"/>
  <c r="E6" i="4"/>
  <c r="E5" i="4"/>
  <c r="E4" i="4"/>
  <c r="E3" i="4"/>
  <c r="E2" i="4"/>
  <c r="D7" i="4"/>
  <c r="D6" i="4"/>
  <c r="D5" i="4"/>
  <c r="D4" i="4"/>
  <c r="D3" i="4"/>
  <c r="D2" i="4"/>
  <c r="C7" i="4"/>
  <c r="C6" i="4"/>
  <c r="C5" i="4"/>
  <c r="C4" i="4"/>
  <c r="C3" i="4"/>
  <c r="C2" i="4"/>
  <c r="B7" i="4"/>
  <c r="B6" i="4"/>
  <c r="B5" i="4"/>
  <c r="B4" i="4"/>
  <c r="B3" i="4"/>
  <c r="B2" i="4"/>
  <c r="B7" i="3"/>
  <c r="B7" i="5" s="1"/>
  <c r="B6" i="3"/>
  <c r="B7" i="6" s="1"/>
  <c r="B5" i="3"/>
  <c r="B5" i="5" s="1"/>
  <c r="B4" i="3"/>
  <c r="B4" i="5" s="1"/>
  <c r="B3" i="3"/>
  <c r="B3" i="5" s="1"/>
  <c r="B2" i="3"/>
  <c r="B2" i="5" s="1"/>
  <c r="B6" i="2"/>
  <c r="B7" i="2" s="1"/>
  <c r="F3" i="12" s="1"/>
  <c r="B14" i="7" l="1"/>
  <c r="B12" i="5" a="1"/>
  <c r="B12" i="5" s="1"/>
  <c r="C7" i="9"/>
  <c r="B11" i="10" a="1"/>
  <c r="B11" i="10" s="1"/>
  <c r="B12" i="10" s="1"/>
  <c r="C7" i="6"/>
  <c r="B12" i="8" a="1"/>
  <c r="B12" i="8" s="1"/>
  <c r="B13" i="8" s="1"/>
  <c r="F3" i="11"/>
  <c r="B2" i="9"/>
  <c r="B7" i="9"/>
  <c r="B8" i="11"/>
  <c r="F4" i="11" s="1"/>
  <c r="C2" i="9"/>
  <c r="B9" i="11" a="1"/>
  <c r="B9" i="11" s="1"/>
  <c r="B10" i="11" s="1"/>
  <c r="F5" i="11" s="1"/>
  <c r="B3" i="9"/>
  <c r="B4" i="9"/>
  <c r="B11" i="8"/>
  <c r="C4" i="9"/>
  <c r="B8" i="12"/>
  <c r="F4" i="12" s="1"/>
  <c r="B5" i="9"/>
  <c r="B13" i="10"/>
  <c r="B9" i="12" a="1"/>
  <c r="B9" i="12" s="1"/>
  <c r="B10" i="12" s="1"/>
  <c r="F5" i="12" s="1"/>
  <c r="F6" i="12" s="1"/>
  <c r="B11" i="7" a="1"/>
  <c r="B11" i="7" s="1"/>
  <c r="B12" i="7" s="1"/>
  <c r="B6" i="9"/>
  <c r="B8" i="6"/>
  <c r="B6" i="6"/>
  <c r="B5" i="6"/>
  <c r="B4" i="6"/>
  <c r="B10" i="7"/>
  <c r="B3" i="6"/>
  <c r="B18" i="5"/>
  <c r="C4" i="3"/>
  <c r="C3" i="3"/>
  <c r="C5" i="3"/>
  <c r="C2" i="3"/>
  <c r="C6" i="3"/>
  <c r="C7" i="3"/>
  <c r="B6" i="5"/>
  <c r="B13" i="7" l="1"/>
  <c r="F6" i="11"/>
  <c r="B14" i="8"/>
  <c r="B11" i="12"/>
  <c r="B11" i="11"/>
  <c r="F10" i="12"/>
  <c r="F9" i="12"/>
  <c r="F8" i="12"/>
  <c r="F7" i="12"/>
  <c r="F10" i="11"/>
  <c r="F8" i="11"/>
  <c r="F9" i="11"/>
  <c r="F7" i="11"/>
  <c r="F11" i="12" l="1"/>
  <c r="F11" i="11"/>
  <c r="C4" i="12"/>
  <c r="C3" i="12"/>
  <c r="C2" i="12"/>
  <c r="C5" i="12"/>
  <c r="C7" i="12"/>
  <c r="C6" i="12"/>
  <c r="C2" i="11"/>
  <c r="C6" i="11"/>
  <c r="C5" i="11"/>
  <c r="C3" i="11"/>
  <c r="C4" i="11"/>
  <c r="C7" i="11"/>
  <c r="B11" i="5" l="1"/>
  <c r="B9" i="6" l="1"/>
  <c r="B8" i="9"/>
  <c r="B13" i="5"/>
  <c r="C8" i="9" s="1"/>
  <c r="B16" i="5"/>
  <c r="B17" i="5" l="1"/>
  <c r="B19" i="5" s="1"/>
  <c r="C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<sst xmlns="http://schemas.openxmlformats.org/spreadsheetml/2006/main" count="243" uniqueCount="82">
  <si>
    <t>date</t>
  </si>
  <si>
    <t>CNR</t>
  </si>
  <si>
    <t>FTS</t>
  </si>
  <si>
    <t>RY</t>
  </si>
  <si>
    <t>SU</t>
  </si>
  <si>
    <t>T</t>
  </si>
  <si>
    <t>TRI</t>
  </si>
  <si>
    <t>Item</t>
  </si>
  <si>
    <t>Value</t>
  </si>
  <si>
    <t>Annual T-bill rate</t>
  </si>
  <si>
    <t>Days in 3-month period</t>
  </si>
  <si>
    <t>Days in year</t>
  </si>
  <si>
    <t>Weeks in 3-month period</t>
  </si>
  <si>
    <t>3-month holding period return</t>
  </si>
  <si>
    <t>Weekly risk-free rate</t>
  </si>
  <si>
    <t>Weeks per year</t>
  </si>
  <si>
    <t>Ticker</t>
  </si>
  <si>
    <t>MeanReturn</t>
  </si>
  <si>
    <t>ExcessReturn</t>
  </si>
  <si>
    <t>Weight</t>
  </si>
  <si>
    <t>Portfolio calculations</t>
  </si>
  <si>
    <t>Expected weekly return</t>
  </si>
  <si>
    <t>Portfolio variance</t>
  </si>
  <si>
    <t>Portfolio stdev</t>
  </si>
  <si>
    <t>Weekly Sharpe ratio</t>
  </si>
  <si>
    <t>Annualized expected return</t>
  </si>
  <si>
    <t>Annualized stdev</t>
  </si>
  <si>
    <t>Annualized risk-free rate</t>
  </si>
  <si>
    <t>Annualized Sharpe ratio</t>
  </si>
  <si>
    <t>Stdev</t>
  </si>
  <si>
    <t>Type</t>
  </si>
  <si>
    <t>Portfolio</t>
  </si>
  <si>
    <t>Stock</t>
  </si>
  <si>
    <t>The optimal risky portfolio lies above all individual equities in the mean–standard deviation space, reflecting that it has a superior risk-adjusted return (highest Sharpe ratio).</t>
  </si>
  <si>
    <t>Diversification reduces risk without sacrificing return, shifting the portfolio above the individual points.</t>
  </si>
  <si>
    <t>Some stocks with lower risk but low returns, or high returns but high risk, lie “below" the efficient frontier.</t>
  </si>
  <si>
    <t>The tangency portfolio combines the best attributes of all six equities and therefore sits at the top of the linear capital allocation line, exactly where theory predicts it should be.</t>
  </si>
  <si>
    <t>decision variables</t>
  </si>
  <si>
    <t>Exptected Return</t>
    <phoneticPr fontId="2" type="noConversion"/>
  </si>
  <si>
    <t xml:space="preserve">Variance </t>
    <phoneticPr fontId="2" type="noConversion"/>
  </si>
  <si>
    <t>Std</t>
    <phoneticPr fontId="2" type="noConversion"/>
  </si>
  <si>
    <t>Sum of weights</t>
    <phoneticPr fontId="2" type="noConversion"/>
  </si>
  <si>
    <t>Sharpe Ratio</t>
    <phoneticPr fontId="2" type="noConversion"/>
  </si>
  <si>
    <t>GMV</t>
    <phoneticPr fontId="2" type="noConversion"/>
  </si>
  <si>
    <t>Portfolio</t>
    <phoneticPr fontId="2" type="noConversion"/>
  </si>
  <si>
    <t>Ticker</t>
    <phoneticPr fontId="2" type="noConversion"/>
  </si>
  <si>
    <t>Risk Aversion Coefficient</t>
  </si>
  <si>
    <t>Risk Aversion Coefficient</t>
    <phoneticPr fontId="2" type="noConversion"/>
  </si>
  <si>
    <t>Total Money</t>
  </si>
  <si>
    <t>Total Money</t>
    <phoneticPr fontId="2" type="noConversion"/>
  </si>
  <si>
    <t>Risk-free weekly</t>
  </si>
  <si>
    <t>E[r_p] of no-short tangency</t>
  </si>
  <si>
    <t>E[r_p] of no-short tangency</t>
    <phoneticPr fontId="2" type="noConversion"/>
  </si>
  <si>
    <t>σ_p of no-short tangency</t>
  </si>
  <si>
    <t>σ_p of no-short tangency</t>
    <phoneticPr fontId="2" type="noConversion"/>
  </si>
  <si>
    <t>Optimal risky share y</t>
  </si>
  <si>
    <t>Optimal risky share y</t>
    <phoneticPr fontId="2" type="noConversion"/>
  </si>
  <si>
    <t>Dollar Amount</t>
    <phoneticPr fontId="2" type="noConversion"/>
  </si>
  <si>
    <t>Risky dollars</t>
  </si>
  <si>
    <t>Risky dollars</t>
    <phoneticPr fontId="2" type="noConversion"/>
  </si>
  <si>
    <t>Amount allocate to risky asset</t>
  </si>
  <si>
    <t>Amount allocate to risky asset</t>
    <phoneticPr fontId="2" type="noConversion"/>
  </si>
  <si>
    <t>Expected Return optimal portfolio</t>
  </si>
  <si>
    <t>Expected Return optimal portfolio</t>
    <phoneticPr fontId="2" type="noConversion"/>
  </si>
  <si>
    <t>std of optimal portfolio</t>
  </si>
  <si>
    <t>std of optimal portfolio</t>
    <phoneticPr fontId="2" type="noConversion"/>
  </si>
  <si>
    <t>Utility</t>
  </si>
  <si>
    <t>Utility</t>
    <phoneticPr fontId="2" type="noConversion"/>
  </si>
  <si>
    <t>E[r_p] of short sell allowed tangency</t>
  </si>
  <si>
    <t>E[r_p] of short sell allowed tangency</t>
    <phoneticPr fontId="2" type="noConversion"/>
  </si>
  <si>
    <t>No short selling optimal portfolio</t>
    <phoneticPr fontId="2" type="noConversion"/>
  </si>
  <si>
    <t>Short selling allowed optimal portfolio</t>
    <phoneticPr fontId="2" type="noConversion"/>
  </si>
  <si>
    <t>To make one indifferent between short sell and no short sell, we hold constant no short sell utility</t>
    <phoneticPr fontId="2" type="noConversion"/>
  </si>
  <si>
    <t>The amount of expected return they can take away is just the difference in utility</t>
    <phoneticPr fontId="2" type="noConversion"/>
  </si>
  <si>
    <t>Weights</t>
    <phoneticPr fontId="2" type="noConversion"/>
  </si>
  <si>
    <t>Stats</t>
    <phoneticPr fontId="2" type="noConversion"/>
  </si>
  <si>
    <t>Values</t>
    <phoneticPr fontId="2" type="noConversion"/>
  </si>
  <si>
    <t>With ShortSell</t>
    <phoneticPr fontId="2" type="noConversion"/>
  </si>
  <si>
    <t>Total Weight</t>
  </si>
  <si>
    <t>weekly risk free rate</t>
  </si>
  <si>
    <t>Short-Sell Portfolio</t>
  </si>
  <si>
    <t>No Short-Sell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</si>
</sst>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0.000000000000_);[Red]\(0.000000000000\)"/>
    <numFmt numFmtId="166" formatCode="0.00000"/>
    <numFmt numFmtId="167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rgb="FF000000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12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2" borderId="0" applyNumberFormat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0" fontId="3" fillId="0" borderId="0" xfId="0" applyFont="1"/>
    <xf numFmtId="0" fontId="0" fillId="0" borderId="0" xfId="0" applyAlignment="1">
      <alignment horizontal="left"/>
    </xf>
    <xf numFmtId="0" fontId="4" fillId="0" borderId="1" xfId="0" applyFont="1" applyBorder="1" applyAlignment="1">
      <alignment horizontal="center" vertical="top"/>
    </xf>
    <xf numFmtId="0" fontId="4" fillId="0" borderId="3" xfId="0" applyFont="1" applyBorder="1"/>
    <xf numFmtId="0" fontId="4" fillId="0" borderId="2" xfId="0" applyFont="1" applyBorder="1" applyAlignment="1">
      <alignment horizontal="left" vertical="top"/>
    </xf>
    <xf numFmtId="165" fontId="0" fillId="0" borderId="0" xfId="0" applyNumberFormat="1"/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3" xfId="0" applyBorder="1"/>
    <xf numFmtId="2" fontId="0" fillId="0" borderId="3" xfId="0" applyNumberFormat="1" applyBorder="1"/>
    <xf numFmtId="166" fontId="0" fillId="0" borderId="0" xfId="0" applyNumberFormat="1"/>
    <xf numFmtId="167" fontId="0" fillId="0" borderId="0" xfId="0" applyNumberFormat="1"/>
    <xf numFmtId="0" fontId="5" fillId="2" borderId="0" xfId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E(r)−</a:t>
            </a:r>
            <a:r>
              <a:rPr lang="el-GR" sz="1400" b="0" i="0" u="none" strike="noStrike" baseline="0"/>
              <a:t>σ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Q3_Graph!$C$2</c:f>
              <c:strCache>
                <c:ptCount val="1"/>
                <c:pt idx="0">
                  <c:v>Stdev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D69E1DD-2981-4740-8125-B24D4CE365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EDD-49C7-BA32-C886AA3138A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8696347-C6AF-6F4F-93FF-D7D0DBB6F8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EDD-49C7-BA32-C886AA3138A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0BC776B-B38C-844C-93BD-F6E47754F0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EDD-49C7-BA32-C886AA3138A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6C94920-2913-0849-BA66-5A2512425E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EDD-49C7-BA32-C886AA3138A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70DF9B1-B9F2-E64E-A002-B87D263C52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EDD-49C7-BA32-C886AA3138A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89E0831-AB12-AB4B-85A3-6E70917C6B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EDD-49C7-BA32-C886AA3138AA}"/>
                </c:ext>
              </c:extLst>
            </c:dLbl>
            <c:dLbl>
              <c:idx val="6"/>
              <c:layout>
                <c:manualLayout>
                  <c:x val="-0.10277777777777783"/>
                  <c:y val="-5.555555555555555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CN"/>
                      <a:t>Optimal </a:t>
                    </a:r>
                  </a:p>
                  <a:p>
                    <a:fld id="{A27A7D58-CFE8-E64A-A8E5-3A94694F01CC}" type="CELLRANGE">
                      <a:rPr lang="en-US" altLang="zh-CN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EDD-49C7-BA32-C886AA3138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Q3_Graph!$C$3:$C$9</c:f>
              <c:numCache>
                <c:formatCode>General</c:formatCode>
                <c:ptCount val="7"/>
                <c:pt idx="0">
                  <c:v>3.9902786065159068E-2</c:v>
                </c:pt>
                <c:pt idx="1">
                  <c:v>2.1353393831415109E-2</c:v>
                </c:pt>
                <c:pt idx="2">
                  <c:v>1.9967620712815697E-2</c:v>
                </c:pt>
                <c:pt idx="3">
                  <c:v>3.3569687455517076E-2</c:v>
                </c:pt>
                <c:pt idx="4">
                  <c:v>2.0110786744411639E-2</c:v>
                </c:pt>
                <c:pt idx="5">
                  <c:v>2.0686336617584421E-2</c:v>
                </c:pt>
                <c:pt idx="6">
                  <c:v>1.635660623155431E-2</c:v>
                </c:pt>
              </c:numCache>
            </c:numRef>
          </c:xVal>
          <c:yVal>
            <c:numRef>
              <c:f>Q3_Graph!$B$3:$B$9</c:f>
              <c:numCache>
                <c:formatCode>General</c:formatCode>
                <c:ptCount val="7"/>
                <c:pt idx="0">
                  <c:v>5.6673134193100279E-3</c:v>
                </c:pt>
                <c:pt idx="1">
                  <c:v>1.7804574529337565E-3</c:v>
                </c:pt>
                <c:pt idx="2">
                  <c:v>3.1106397301594287E-3</c:v>
                </c:pt>
                <c:pt idx="3">
                  <c:v>2.5854037945516766E-3</c:v>
                </c:pt>
                <c:pt idx="4">
                  <c:v>2.4848860964414637E-3</c:v>
                </c:pt>
                <c:pt idx="5">
                  <c:v>3.8853578969867105E-3</c:v>
                </c:pt>
                <c:pt idx="6">
                  <c:v>3.8556530124302735E-3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Q3_Graph!$A$3:$A$9</c15:f>
                <c15:dlblRangeCache>
                  <c:ptCount val="7"/>
                  <c:pt idx="0">
                    <c:v>CNR</c:v>
                  </c:pt>
                  <c:pt idx="1">
                    <c:v>FTS</c:v>
                  </c:pt>
                  <c:pt idx="2">
                    <c:v>RY</c:v>
                  </c:pt>
                  <c:pt idx="3">
                    <c:v>SU</c:v>
                  </c:pt>
                  <c:pt idx="4">
                    <c:v>T</c:v>
                  </c:pt>
                  <c:pt idx="5">
                    <c:v>TRI</c:v>
                  </c:pt>
                  <c:pt idx="6">
                    <c:v>Portfolio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EDD-49C7-BA32-C886AA313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4448687"/>
        <c:axId val="1474461167"/>
      </c:scatterChart>
      <c:valAx>
        <c:axId val="1474448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σ</a:t>
                </a:r>
                <a:endParaRPr lang="en-CA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461167"/>
        <c:crosses val="autoZero"/>
        <c:crossBetween val="midCat"/>
      </c:valAx>
      <c:valAx>
        <c:axId val="147446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E(r)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448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E(r)−</a:t>
            </a:r>
            <a:r>
              <a:rPr lang="el-GR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σ</a:t>
            </a:r>
            <a:endParaRPr lang="en-US" altLang="zh-CN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Q5_GMV_Graph!$C$1</c:f>
              <c:strCache>
                <c:ptCount val="1"/>
                <c:pt idx="0">
                  <c:v>Stdev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11757F7-15C0-B94D-B4B6-53F1CDEDDD14}" type="CELLRANGE">
                      <a:rPr lang="en-US" altLang="zh-CN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6931-D74A-8060-E6AF59B4E15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70954CA-4A8F-4946-B93C-D74BC38A0A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6931-D74A-8060-E6AF59B4E15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D381334-BA9D-F442-9E16-815484DE3C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6931-D74A-8060-E6AF59B4E15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2739660-5F82-5B4B-AE51-C02169CBDF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6931-D74A-8060-E6AF59B4E15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22E57DD-4D5C-3142-9626-802C9485B0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6931-D74A-8060-E6AF59B4E15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77417CF-BA72-5543-906B-7033DAFD51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6931-D74A-8060-E6AF59B4E152}"/>
                </c:ext>
              </c:extLst>
            </c:dLbl>
            <c:dLbl>
              <c:idx val="6"/>
              <c:layout>
                <c:manualLayout>
                  <c:x val="-8.6080196045077426E-2"/>
                  <c:y val="-5.4535304810844121E-2"/>
                </c:manualLayout>
              </c:layout>
              <c:tx>
                <c:rich>
                  <a:bodyPr/>
                  <a:lstStyle/>
                  <a:p>
                    <a:r>
                      <a:rPr lang="en-US" altLang="zh-CN"/>
                      <a:t>Optimal </a:t>
                    </a:r>
                  </a:p>
                  <a:p>
                    <a:fld id="{0FC9E0D3-F232-1948-833B-2996C334F061}" type="CELLRANGE">
                      <a:rPr lang="en-US" altLang="zh-CN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6931-D74A-8060-E6AF59B4E152}"/>
                </c:ext>
              </c:extLst>
            </c:dLbl>
            <c:dLbl>
              <c:idx val="7"/>
              <c:layout>
                <c:manualLayout>
                  <c:x val="-4.7205268798913423E-2"/>
                  <c:y val="6.8169131013555012E-2"/>
                </c:manualLayout>
              </c:layout>
              <c:tx>
                <c:rich>
                  <a:bodyPr/>
                  <a:lstStyle/>
                  <a:p>
                    <a:fld id="{FD681142-C05B-2E44-9517-2EDB9546C990}" type="CELLRANGE">
                      <a:rPr lang="en-US" altLang="zh-CN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6931-D74A-8060-E6AF59B4E1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Q5_GMV_Graph!$C$2:$C$9</c:f>
              <c:numCache>
                <c:formatCode>General</c:formatCode>
                <c:ptCount val="8"/>
                <c:pt idx="0">
                  <c:v>3.9902786065159068E-2</c:v>
                </c:pt>
                <c:pt idx="1">
                  <c:v>2.1353393831415109E-2</c:v>
                </c:pt>
                <c:pt idx="2">
                  <c:v>1.9967620712815697E-2</c:v>
                </c:pt>
                <c:pt idx="3">
                  <c:v>3.3569687455517076E-2</c:v>
                </c:pt>
                <c:pt idx="4">
                  <c:v>2.0110786744411639E-2</c:v>
                </c:pt>
                <c:pt idx="5">
                  <c:v>2.0686336617584421E-2</c:v>
                </c:pt>
                <c:pt idx="6">
                  <c:v>1.635660623155431E-2</c:v>
                </c:pt>
                <c:pt idx="7">
                  <c:v>1.4175156479134284E-2</c:v>
                </c:pt>
              </c:numCache>
            </c:numRef>
          </c:xVal>
          <c:yVal>
            <c:numRef>
              <c:f>Q5_GMV_Graph!$B$2:$B$9</c:f>
              <c:numCache>
                <c:formatCode>General</c:formatCode>
                <c:ptCount val="8"/>
                <c:pt idx="0">
                  <c:v>5.6673134193100279E-3</c:v>
                </c:pt>
                <c:pt idx="1">
                  <c:v>1.7804574529337565E-3</c:v>
                </c:pt>
                <c:pt idx="2">
                  <c:v>3.1106397301594287E-3</c:v>
                </c:pt>
                <c:pt idx="3">
                  <c:v>2.5854037945516766E-3</c:v>
                </c:pt>
                <c:pt idx="4">
                  <c:v>2.4848860964414637E-3</c:v>
                </c:pt>
                <c:pt idx="5">
                  <c:v>3.8853578969867105E-3</c:v>
                </c:pt>
                <c:pt idx="6">
                  <c:v>3.8556530124302735E-3</c:v>
                </c:pt>
                <c:pt idx="7">
                  <c:v>2.946885046798459E-3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Q5_GMV_Graph!$A$2:$A$9</c15:f>
                <c15:dlblRangeCache>
                  <c:ptCount val="8"/>
                  <c:pt idx="0">
                    <c:v>CNR</c:v>
                  </c:pt>
                  <c:pt idx="1">
                    <c:v>FTS</c:v>
                  </c:pt>
                  <c:pt idx="2">
                    <c:v>RY</c:v>
                  </c:pt>
                  <c:pt idx="3">
                    <c:v>SU</c:v>
                  </c:pt>
                  <c:pt idx="4">
                    <c:v>T</c:v>
                  </c:pt>
                  <c:pt idx="5">
                    <c:v>TRI</c:v>
                  </c:pt>
                  <c:pt idx="6">
                    <c:v>Portfolio</c:v>
                  </c:pt>
                  <c:pt idx="7">
                    <c:v>GMV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6931-D74A-8060-E6AF59B4E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845952"/>
        <c:axId val="637847664"/>
      </c:scatterChart>
      <c:valAx>
        <c:axId val="63784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Standard</a:t>
                </a:r>
                <a:r>
                  <a:rPr lang="en-US" altLang="zh-CN" baseline="0"/>
                  <a:t> Deviation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7847664"/>
        <c:crosses val="autoZero"/>
        <c:crossBetween val="midCat"/>
      </c:valAx>
      <c:valAx>
        <c:axId val="63784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Expected</a:t>
                </a:r>
                <a:r>
                  <a:rPr lang="en-US" altLang="zh-CN" baseline="0"/>
                  <a:t> Return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784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E(r)−</a:t>
            </a:r>
            <a:r>
              <a:rPr lang="el-GR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σ</a:t>
            </a:r>
            <a:endParaRPr lang="en-US" altLang="zh-CN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647F1E4-B890-F84A-9049-4C5F4484D7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EF7-8849-924A-18E41DC7283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2A51104-46BC-8648-B5B0-08257D25D5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EF7-8849-924A-18E41DC7283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C3B7B00-8AB6-8642-98D3-39B55311AC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EF7-8849-924A-18E41DC7283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1A9BAD5-6609-8F40-A984-00DB8BA257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EF7-8849-924A-18E41DC7283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2F66192-F738-E74A-8A62-268DD161A6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EF7-8849-924A-18E41DC7283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2F47612-88DE-EB44-AD5F-A0726D680F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EF7-8849-924A-18E41DC7283F}"/>
                </c:ext>
              </c:extLst>
            </c:dLbl>
            <c:dLbl>
              <c:idx val="6"/>
              <c:layout>
                <c:manualLayout>
                  <c:x val="8.3319884060708855E-3"/>
                  <c:y val="-9.9428370750387809E-2"/>
                </c:manualLayout>
              </c:layout>
              <c:tx>
                <c:rich>
                  <a:bodyPr/>
                  <a:lstStyle/>
                  <a:p>
                    <a:fld id="{2883F36F-E9F8-5946-97EA-F0ECB17CC0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FEF7-8849-924A-18E41DC7283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5AD9E87-7E66-6441-B471-EF013D41C7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EF7-8849-924A-18E41DC7283F}"/>
                </c:ext>
              </c:extLst>
            </c:dLbl>
            <c:dLbl>
              <c:idx val="8"/>
              <c:layout>
                <c:manualLayout>
                  <c:x val="-0.19441306280832188"/>
                  <c:y val="-9.4693686428940771E-3"/>
                </c:manualLayout>
              </c:layout>
              <c:tx>
                <c:rich>
                  <a:bodyPr/>
                  <a:lstStyle/>
                  <a:p>
                    <a:fld id="{4C2A73F6-AA48-814C-816B-B96EDBD9B4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FEF7-8849-924A-18E41DC728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'Q6 Graph'!$C$2:$C$10</c:f>
              <c:numCache>
                <c:formatCode>General</c:formatCode>
                <c:ptCount val="9"/>
                <c:pt idx="0">
                  <c:v>3.9902786065159068E-2</c:v>
                </c:pt>
                <c:pt idx="1">
                  <c:v>2.1353393831415109E-2</c:v>
                </c:pt>
                <c:pt idx="2">
                  <c:v>1.9967620712815697E-2</c:v>
                </c:pt>
                <c:pt idx="3">
                  <c:v>3.3569687455517076E-2</c:v>
                </c:pt>
                <c:pt idx="4">
                  <c:v>2.0110786744411639E-2</c:v>
                </c:pt>
                <c:pt idx="5">
                  <c:v>2.0686336617584421E-2</c:v>
                </c:pt>
                <c:pt idx="6">
                  <c:v>1.635660623155431E-2</c:v>
                </c:pt>
                <c:pt idx="7">
                  <c:v>1.4175156479134284E-2</c:v>
                </c:pt>
                <c:pt idx="8">
                  <c:v>1.5925866427873987E-2</c:v>
                </c:pt>
              </c:numCache>
            </c:numRef>
          </c:xVal>
          <c:yVal>
            <c:numRef>
              <c:f>'Q6 Graph'!$B$2:$B$10</c:f>
              <c:numCache>
                <c:formatCode>General</c:formatCode>
                <c:ptCount val="9"/>
                <c:pt idx="0">
                  <c:v>5.6673134193100279E-3</c:v>
                </c:pt>
                <c:pt idx="1">
                  <c:v>1.7804574529337565E-3</c:v>
                </c:pt>
                <c:pt idx="2">
                  <c:v>3.1106397301594287E-3</c:v>
                </c:pt>
                <c:pt idx="3">
                  <c:v>2.5854037945516766E-3</c:v>
                </c:pt>
                <c:pt idx="4">
                  <c:v>2.4848860964414637E-3</c:v>
                </c:pt>
                <c:pt idx="5">
                  <c:v>3.8853578969867105E-3</c:v>
                </c:pt>
                <c:pt idx="6">
                  <c:v>3.8556530124302735E-3</c:v>
                </c:pt>
                <c:pt idx="7">
                  <c:v>2.946885046798459E-3</c:v>
                </c:pt>
                <c:pt idx="8">
                  <c:v>3.7239768125097235E-3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'Q6 Graph'!$A$2:$A$10</c15:f>
                <c15:dlblRangeCache>
                  <c:ptCount val="9"/>
                  <c:pt idx="0">
                    <c:v>CNR</c:v>
                  </c:pt>
                  <c:pt idx="1">
                    <c:v>FTS</c:v>
                  </c:pt>
                  <c:pt idx="2">
                    <c:v>RY</c:v>
                  </c:pt>
                  <c:pt idx="3">
                    <c:v>SU</c:v>
                  </c:pt>
                  <c:pt idx="4">
                    <c:v>T</c:v>
                  </c:pt>
                  <c:pt idx="5">
                    <c:v>TRI</c:v>
                  </c:pt>
                  <c:pt idx="6">
                    <c:v>Short-Sell Portfolio</c:v>
                  </c:pt>
                  <c:pt idx="7">
                    <c:v>GMV</c:v>
                  </c:pt>
                  <c:pt idx="8">
                    <c:v>No Short-Sell Portfolio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EF7-8849-924A-18E41DC72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8341120"/>
        <c:axId val="708342832"/>
      </c:scatterChart>
      <c:valAx>
        <c:axId val="708341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 Deviation(</a:t>
                </a:r>
                <a:r>
                  <a:rPr lang="el-GR" altLang="zh-C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σ</a:t>
                </a:r>
                <a:r>
                  <a:rPr lang="en-CA" altLang="zh-C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342832"/>
        <c:crosses val="autoZero"/>
        <c:crossBetween val="midCat"/>
      </c:valAx>
      <c:valAx>
        <c:axId val="70834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Expected Return(E(r))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341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16948</xdr:colOff>
      <xdr:row>0</xdr:row>
      <xdr:rowOff>189055</xdr:rowOff>
    </xdr:from>
    <xdr:to>
      <xdr:col>12</xdr:col>
      <xdr:colOff>312551</xdr:colOff>
      <xdr:row>15</xdr:row>
      <xdr:rowOff>14190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1B06E1-38D3-B539-8370-25D71200EA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4379</xdr:colOff>
      <xdr:row>0</xdr:row>
      <xdr:rowOff>0</xdr:rowOff>
    </xdr:from>
    <xdr:to>
      <xdr:col>12</xdr:col>
      <xdr:colOff>529896</xdr:colOff>
      <xdr:row>15</xdr:row>
      <xdr:rowOff>115614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EC03F1E-1B12-4C19-2442-CDCB269DEA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111020</xdr:colOff>
      <xdr:row>3</xdr:row>
      <xdr:rowOff>184361</xdr:rowOff>
    </xdr:from>
    <xdr:to>
      <xdr:col>10</xdr:col>
      <xdr:colOff>561828</xdr:colOff>
      <xdr:row>18</xdr:row>
      <xdr:rowOff>25905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ECA027E-1618-D80E-F47C-ABA06131F7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2"/>
  <sheetViews>
    <sheetView zoomScale="239" workbookViewId="0">
      <selection activeCell="D7" sqref="D7"/>
    </sheetView>
  </sheetViews>
  <sheetFormatPr baseColWidth="10" defaultColWidth="8.83203125" defaultRowHeight="15" x14ac:dyDescent="0.2"/>
  <cols>
    <col min="1" max="1" width="22.3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40914</v>
      </c>
      <c r="B2">
        <v>-1.6220320776067939E-2</v>
      </c>
      <c r="C2">
        <v>-1.198627441143041E-2</v>
      </c>
      <c r="D2">
        <v>1.347212821563248E-3</v>
      </c>
      <c r="E2">
        <v>7.3860367073613764E-2</v>
      </c>
      <c r="F2">
        <v>-8.3282730998285315E-3</v>
      </c>
      <c r="G2">
        <v>1.7259274422254611E-2</v>
      </c>
    </row>
    <row r="3" spans="1:7" x14ac:dyDescent="0.2">
      <c r="A3" s="2">
        <v>40921</v>
      </c>
      <c r="B3">
        <v>-7.6101376742915283E-3</v>
      </c>
      <c r="C3">
        <v>-5.4596118617219469E-3</v>
      </c>
      <c r="D3">
        <v>7.6781316182583659E-4</v>
      </c>
      <c r="E3">
        <v>3.4231234884093409E-2</v>
      </c>
      <c r="F3">
        <v>-2.3792992158116592E-2</v>
      </c>
      <c r="G3">
        <v>3.104646526335841E-2</v>
      </c>
    </row>
    <row r="4" spans="1:7" x14ac:dyDescent="0.2">
      <c r="A4" s="2">
        <v>40928</v>
      </c>
      <c r="B4">
        <v>1.8274710951705408E-2</v>
      </c>
      <c r="C4">
        <v>1.4943313492695729E-2</v>
      </c>
      <c r="D4">
        <v>3.3787454257824701E-2</v>
      </c>
      <c r="E4">
        <v>3.7081235251484428E-2</v>
      </c>
      <c r="F4">
        <v>3.404773708674425E-3</v>
      </c>
      <c r="G4">
        <v>2.346039486238638E-2</v>
      </c>
    </row>
    <row r="5" spans="1:7" x14ac:dyDescent="0.2">
      <c r="A5" s="2">
        <v>40935</v>
      </c>
      <c r="B5">
        <v>-4.2419599196334312E-2</v>
      </c>
      <c r="C5">
        <v>1.8021941944219579E-3</v>
      </c>
      <c r="D5">
        <v>-1.8471043014154139E-2</v>
      </c>
      <c r="E5">
        <v>2.1276050014199521E-2</v>
      </c>
      <c r="F5">
        <v>2.4998357738414971E-3</v>
      </c>
      <c r="G5">
        <v>-4.8921983845872978E-2</v>
      </c>
    </row>
    <row r="6" spans="1:7" x14ac:dyDescent="0.2">
      <c r="A6" s="2">
        <v>40942</v>
      </c>
      <c r="B6">
        <v>2.110088323361969E-2</v>
      </c>
      <c r="C6">
        <v>1.8295615278672631E-2</v>
      </c>
      <c r="D6">
        <v>1.9109496337073258E-2</v>
      </c>
      <c r="E6">
        <v>9.8370883367728812E-3</v>
      </c>
      <c r="F6">
        <v>1.158046002629121E-2</v>
      </c>
      <c r="G6">
        <v>-2.194227939888382E-2</v>
      </c>
    </row>
    <row r="7" spans="1:7" x14ac:dyDescent="0.2">
      <c r="A7" s="2">
        <v>40949</v>
      </c>
      <c r="B7">
        <v>-6.8031862518768138E-3</v>
      </c>
      <c r="C7">
        <v>-1.0014912342683259E-2</v>
      </c>
      <c r="D7">
        <v>5.061752473423331E-3</v>
      </c>
      <c r="E7">
        <v>-2.9513355972874411E-2</v>
      </c>
      <c r="F7">
        <v>-8.4528948189347419E-3</v>
      </c>
      <c r="G7">
        <v>-1.9492541792621831E-2</v>
      </c>
    </row>
    <row r="8" spans="1:7" x14ac:dyDescent="0.2">
      <c r="A8" s="2">
        <v>40956</v>
      </c>
      <c r="B8">
        <v>-1.1630243035117499E-2</v>
      </c>
      <c r="C8">
        <v>-1.3791177889500241E-2</v>
      </c>
      <c r="D8">
        <v>-8.5831587056307557E-3</v>
      </c>
      <c r="E8">
        <v>7.970577972352233E-3</v>
      </c>
      <c r="F8">
        <v>-4.9722198426094266E-3</v>
      </c>
      <c r="G8">
        <v>2.432949209682822E-2</v>
      </c>
    </row>
    <row r="9" spans="1:7" x14ac:dyDescent="0.2">
      <c r="A9" s="2">
        <v>40963</v>
      </c>
      <c r="B9">
        <v>5.0992741687114762E-3</v>
      </c>
      <c r="C9">
        <v>-2.465682238598044E-2</v>
      </c>
      <c r="D9">
        <v>2.8604017871689539E-2</v>
      </c>
      <c r="E9">
        <v>8.2894740214888962E-2</v>
      </c>
      <c r="F9">
        <v>2.1421164802535749E-2</v>
      </c>
      <c r="G9">
        <v>5.7060089900017763E-2</v>
      </c>
    </row>
    <row r="10" spans="1:7" x14ac:dyDescent="0.2">
      <c r="A10" s="2">
        <v>40970</v>
      </c>
      <c r="B10">
        <v>1.302166005772154E-4</v>
      </c>
      <c r="C10">
        <v>2.3409732097621649E-2</v>
      </c>
      <c r="D10">
        <v>3.1833176356969917E-2</v>
      </c>
      <c r="E10">
        <v>-3.8172235335052318E-2</v>
      </c>
      <c r="F10">
        <v>1.397234259398195E-3</v>
      </c>
      <c r="G10">
        <v>6.6587699210878259E-3</v>
      </c>
    </row>
    <row r="11" spans="1:7" x14ac:dyDescent="0.2">
      <c r="A11" s="2">
        <v>40977</v>
      </c>
      <c r="B11">
        <v>-3.8858060387992892E-3</v>
      </c>
      <c r="C11">
        <v>-1.0674714551777931E-2</v>
      </c>
      <c r="D11">
        <v>8.1562183507239983E-3</v>
      </c>
      <c r="E11">
        <v>-3.4132415797823328E-2</v>
      </c>
      <c r="F11">
        <v>6.5080262157291013E-3</v>
      </c>
      <c r="G11">
        <v>-8.7039969788693661E-3</v>
      </c>
    </row>
    <row r="12" spans="1:7" x14ac:dyDescent="0.2">
      <c r="A12" s="2">
        <v>40984</v>
      </c>
      <c r="B12">
        <v>3.005193798730188E-2</v>
      </c>
      <c r="C12">
        <v>6.782130603751213E-3</v>
      </c>
      <c r="D12">
        <v>2.039997885545319E-2</v>
      </c>
      <c r="E12">
        <v>-3.8552375608615352E-2</v>
      </c>
      <c r="F12">
        <v>1.926774946583665E-3</v>
      </c>
      <c r="G12">
        <v>2.4938184212271119E-2</v>
      </c>
    </row>
    <row r="13" spans="1:7" x14ac:dyDescent="0.2">
      <c r="A13" s="2">
        <v>40991</v>
      </c>
      <c r="B13">
        <v>-5.4778763710229272E-3</v>
      </c>
      <c r="C13">
        <v>-6.7365956477845046E-3</v>
      </c>
      <c r="D13">
        <v>-3.4560467157851438E-4</v>
      </c>
      <c r="E13">
        <v>-3.6446071228440902E-3</v>
      </c>
      <c r="F13">
        <v>4.8956974536198414E-3</v>
      </c>
      <c r="G13">
        <v>1.3363539097630991E-2</v>
      </c>
    </row>
    <row r="14" spans="1:7" x14ac:dyDescent="0.2">
      <c r="A14" s="2">
        <v>40998</v>
      </c>
      <c r="B14">
        <v>1.550061420352988E-2</v>
      </c>
      <c r="C14">
        <v>-5.240416526911762E-3</v>
      </c>
      <c r="D14">
        <v>-3.2755531541673881E-3</v>
      </c>
      <c r="E14">
        <v>-6.4013767569738311E-3</v>
      </c>
      <c r="F14">
        <v>6.9589393925517662E-3</v>
      </c>
      <c r="G14">
        <v>-2.4685853300122181E-2</v>
      </c>
    </row>
    <row r="15" spans="1:7" x14ac:dyDescent="0.2">
      <c r="A15" s="2">
        <v>41005</v>
      </c>
      <c r="B15">
        <v>-1.488506850860527E-2</v>
      </c>
      <c r="C15">
        <v>-4.9570636637450427E-3</v>
      </c>
      <c r="D15">
        <v>-1.4704367722933929E-2</v>
      </c>
      <c r="E15">
        <v>-6.5664909228089985E-2</v>
      </c>
      <c r="F15">
        <v>7.4296507219193666E-3</v>
      </c>
      <c r="G15">
        <v>-2.84325136443444E-2</v>
      </c>
    </row>
    <row r="16" spans="1:7" x14ac:dyDescent="0.2">
      <c r="A16" s="2">
        <v>41012</v>
      </c>
      <c r="B16">
        <v>5.1229030669805997E-3</v>
      </c>
      <c r="C16">
        <v>1.152289420603614E-2</v>
      </c>
      <c r="D16">
        <v>-1.8959916135414812E-2</v>
      </c>
      <c r="E16">
        <v>-2.1573849173783799E-7</v>
      </c>
      <c r="F16">
        <v>-6.3456511318316089E-3</v>
      </c>
      <c r="G16">
        <v>8.2081618431202319E-3</v>
      </c>
    </row>
    <row r="17" spans="1:7" x14ac:dyDescent="0.2">
      <c r="A17" s="2">
        <v>41019</v>
      </c>
      <c r="B17">
        <v>2.0894750845260379E-2</v>
      </c>
      <c r="C17">
        <v>2.8017341331814331E-2</v>
      </c>
      <c r="D17">
        <v>2.2727823871930619E-2</v>
      </c>
      <c r="E17">
        <v>1.773387466776644E-2</v>
      </c>
      <c r="F17">
        <v>2.5199493476133039E-2</v>
      </c>
      <c r="G17">
        <v>1.416053210416535E-2</v>
      </c>
    </row>
    <row r="18" spans="1:7" x14ac:dyDescent="0.2">
      <c r="A18" s="2">
        <v>41026</v>
      </c>
      <c r="B18">
        <v>5.3162991081122428E-2</v>
      </c>
      <c r="C18">
        <v>2.42593244444782E-2</v>
      </c>
      <c r="D18">
        <v>7.967191322239886E-3</v>
      </c>
      <c r="E18">
        <v>2.0975421649379818E-2</v>
      </c>
      <c r="F18">
        <v>-7.406795630949814E-3</v>
      </c>
      <c r="G18">
        <v>2.1639579454105769E-2</v>
      </c>
    </row>
    <row r="19" spans="1:7" x14ac:dyDescent="0.2">
      <c r="A19" s="2">
        <v>41033</v>
      </c>
      <c r="B19">
        <v>-1.1730725180967291E-2</v>
      </c>
      <c r="C19">
        <v>-1.637474674084893E-2</v>
      </c>
      <c r="D19">
        <v>-3.629684377485376E-2</v>
      </c>
      <c r="E19">
        <v>-4.5828117771952837E-2</v>
      </c>
      <c r="F19">
        <v>-1.7979137776906181E-2</v>
      </c>
      <c r="G19">
        <v>4.7833097814162784E-3</v>
      </c>
    </row>
    <row r="20" spans="1:7" x14ac:dyDescent="0.2">
      <c r="A20" s="2">
        <v>41040</v>
      </c>
      <c r="B20">
        <v>-2.853687512207348E-2</v>
      </c>
      <c r="C20">
        <v>1.0403531119319799E-2</v>
      </c>
      <c r="D20">
        <v>-1.7465956568859301E-2</v>
      </c>
      <c r="E20">
        <v>-4.7697831387544583E-2</v>
      </c>
      <c r="F20">
        <v>3.3332262367678611E-2</v>
      </c>
      <c r="G20">
        <v>3.7398953193765738E-3</v>
      </c>
    </row>
    <row r="21" spans="1:7" x14ac:dyDescent="0.2">
      <c r="A21" s="2">
        <v>41047</v>
      </c>
      <c r="B21">
        <v>-4.5660446336334148E-3</v>
      </c>
      <c r="C21">
        <v>-1.7431974426083349E-2</v>
      </c>
      <c r="D21">
        <v>-4.2592173561187163E-2</v>
      </c>
      <c r="E21">
        <v>-4.6957381209131947E-2</v>
      </c>
      <c r="F21">
        <v>-6.5179183415235986E-3</v>
      </c>
      <c r="G21">
        <v>-3.8617233600681811E-2</v>
      </c>
    </row>
    <row r="22" spans="1:7" x14ac:dyDescent="0.2">
      <c r="A22" s="2">
        <v>41054</v>
      </c>
      <c r="B22">
        <v>3.6082616460323617E-2</v>
      </c>
      <c r="C22">
        <v>1.8117797437138261E-3</v>
      </c>
      <c r="D22">
        <v>-2.6111652127758012E-2</v>
      </c>
      <c r="E22">
        <v>5.3649728442577871E-2</v>
      </c>
      <c r="F22">
        <v>-1.312281302018359E-2</v>
      </c>
      <c r="G22">
        <v>2.355851855312396E-2</v>
      </c>
    </row>
    <row r="23" spans="1:7" x14ac:dyDescent="0.2">
      <c r="A23" s="2">
        <v>41061</v>
      </c>
      <c r="B23">
        <v>-8.1382507034813978E-3</v>
      </c>
      <c r="C23">
        <v>-2.2920047408837348E-2</v>
      </c>
      <c r="D23">
        <v>-7.1498560099123587E-3</v>
      </c>
      <c r="E23">
        <v>-4.4081003561437397E-2</v>
      </c>
      <c r="F23">
        <v>1.38079483688478E-2</v>
      </c>
      <c r="G23">
        <v>-2.4023613017694071E-2</v>
      </c>
    </row>
    <row r="24" spans="1:7" x14ac:dyDescent="0.2">
      <c r="A24" s="2">
        <v>41068</v>
      </c>
      <c r="B24">
        <v>1.3961833421797021E-2</v>
      </c>
      <c r="C24">
        <v>4.166718877859843E-2</v>
      </c>
      <c r="D24">
        <v>6.4015940371964231E-3</v>
      </c>
      <c r="E24">
        <v>5.6789815163837742E-2</v>
      </c>
      <c r="F24">
        <v>-3.6822421454255632E-3</v>
      </c>
      <c r="G24">
        <v>3.424892563553783E-2</v>
      </c>
    </row>
    <row r="25" spans="1:7" x14ac:dyDescent="0.2">
      <c r="A25" s="2">
        <v>41075</v>
      </c>
      <c r="B25">
        <v>-7.1719185909401304E-3</v>
      </c>
      <c r="C25">
        <v>-3.7036436025503112E-2</v>
      </c>
      <c r="D25">
        <v>1.84845906014619E-2</v>
      </c>
      <c r="E25">
        <v>-6.8873526027768417E-4</v>
      </c>
      <c r="F25">
        <v>-3.5796513208473661E-3</v>
      </c>
      <c r="G25">
        <v>-3.0699732726972021E-2</v>
      </c>
    </row>
    <row r="26" spans="1:7" x14ac:dyDescent="0.2">
      <c r="A26" s="2">
        <v>41082</v>
      </c>
      <c r="B26">
        <v>3.3590975734267843E-2</v>
      </c>
      <c r="C26">
        <v>-1.537371725176651E-3</v>
      </c>
      <c r="D26">
        <v>1.4051509750065531E-2</v>
      </c>
      <c r="E26">
        <v>-2.5852779136929179E-2</v>
      </c>
      <c r="F26">
        <v>2.9945450503423121E-2</v>
      </c>
      <c r="G26">
        <v>1.530204218237419E-2</v>
      </c>
    </row>
    <row r="27" spans="1:7" x14ac:dyDescent="0.2">
      <c r="A27" s="2">
        <v>41089</v>
      </c>
      <c r="B27">
        <v>2.9110092980717539E-3</v>
      </c>
      <c r="C27">
        <v>-4.929171499311269E-3</v>
      </c>
      <c r="D27">
        <v>3.8490834359108379E-3</v>
      </c>
      <c r="E27">
        <v>4.1756583334893849E-2</v>
      </c>
      <c r="F27">
        <v>1.5783101892582922E-2</v>
      </c>
      <c r="G27">
        <v>1.5422311350710149E-2</v>
      </c>
    </row>
    <row r="28" spans="1:7" x14ac:dyDescent="0.2">
      <c r="A28" s="2">
        <v>41096</v>
      </c>
      <c r="B28">
        <v>-5.8011919597444894E-4</v>
      </c>
      <c r="C28">
        <v>7.4329116342832791E-3</v>
      </c>
      <c r="D28">
        <v>1.188679178121599E-2</v>
      </c>
      <c r="E28">
        <v>-2.7177579827618592E-3</v>
      </c>
      <c r="F28">
        <v>2.404445558668877E-2</v>
      </c>
      <c r="G28">
        <v>2.071243301755787E-3</v>
      </c>
    </row>
    <row r="29" spans="1:7" x14ac:dyDescent="0.2">
      <c r="A29" s="2">
        <v>41103</v>
      </c>
      <c r="B29">
        <v>8.2511547932289098E-3</v>
      </c>
      <c r="C29">
        <v>1.321896021937552E-2</v>
      </c>
      <c r="D29">
        <v>-5.6832580975092473E-3</v>
      </c>
      <c r="E29">
        <v>1.7035812946004649E-3</v>
      </c>
      <c r="F29">
        <v>-4.4731162096824928E-3</v>
      </c>
      <c r="G29">
        <v>8.955706725387591E-3</v>
      </c>
    </row>
    <row r="30" spans="1:7" x14ac:dyDescent="0.2">
      <c r="A30" s="2">
        <v>41110</v>
      </c>
      <c r="B30">
        <v>1.313901272620499E-2</v>
      </c>
      <c r="C30">
        <v>5.4616055206295746E-3</v>
      </c>
      <c r="D30">
        <v>-1.3330337813205471E-3</v>
      </c>
      <c r="E30">
        <v>3.6382469390042298E-2</v>
      </c>
      <c r="F30">
        <v>-1.556258641038499E-2</v>
      </c>
      <c r="G30">
        <v>-9.2190917318726306E-3</v>
      </c>
    </row>
    <row r="31" spans="1:7" x14ac:dyDescent="0.2">
      <c r="A31" s="2">
        <v>41117</v>
      </c>
      <c r="B31">
        <v>5.6876974428239357E-3</v>
      </c>
      <c r="C31">
        <v>4.8278116438613683E-3</v>
      </c>
      <c r="D31">
        <v>-1.902664332180781E-3</v>
      </c>
      <c r="E31">
        <v>4.6259133431545418E-2</v>
      </c>
      <c r="F31">
        <v>2.3956792555718032E-2</v>
      </c>
      <c r="G31">
        <v>8.9590207346175177E-3</v>
      </c>
    </row>
    <row r="32" spans="1:7" x14ac:dyDescent="0.2">
      <c r="A32" s="2">
        <v>41124</v>
      </c>
      <c r="B32">
        <v>6.7876253765561936E-3</v>
      </c>
      <c r="C32">
        <v>-2.7022506764323721E-3</v>
      </c>
      <c r="D32">
        <v>-2.513401286379779E-3</v>
      </c>
      <c r="E32">
        <v>-8.1531473648152053E-3</v>
      </c>
      <c r="F32">
        <v>5.4110656274157787E-3</v>
      </c>
      <c r="G32">
        <v>-3.1420546555083202E-2</v>
      </c>
    </row>
    <row r="33" spans="1:7" x14ac:dyDescent="0.2">
      <c r="A33" s="2">
        <v>41131</v>
      </c>
      <c r="B33">
        <v>8.5396791009368922E-3</v>
      </c>
      <c r="C33">
        <v>1.927136297091292E-2</v>
      </c>
      <c r="D33">
        <v>-8.7212356026724613E-3</v>
      </c>
      <c r="E33">
        <v>4.7422558548524396E-3</v>
      </c>
      <c r="F33">
        <v>2.9602211055679731E-2</v>
      </c>
      <c r="G33">
        <v>2.0098699244450739E-2</v>
      </c>
    </row>
    <row r="34" spans="1:7" x14ac:dyDescent="0.2">
      <c r="A34" s="2">
        <v>41138</v>
      </c>
      <c r="B34">
        <v>1.9831796570546789E-2</v>
      </c>
      <c r="C34">
        <v>2.3761501696044629E-3</v>
      </c>
      <c r="D34">
        <v>5.5522578093164299E-2</v>
      </c>
      <c r="E34">
        <v>2.0453796091128629E-2</v>
      </c>
      <c r="F34">
        <v>-1.906614970738452E-2</v>
      </c>
      <c r="G34">
        <v>2.4888412724529681E-2</v>
      </c>
    </row>
    <row r="35" spans="1:7" x14ac:dyDescent="0.2">
      <c r="A35" s="2">
        <v>41145</v>
      </c>
      <c r="B35">
        <v>-7.319953683880609E-3</v>
      </c>
      <c r="C35">
        <v>-2.3780230870009689E-3</v>
      </c>
      <c r="D35">
        <v>-4.8154242607110209E-3</v>
      </c>
      <c r="E35">
        <v>-3.0527728507374952E-2</v>
      </c>
      <c r="F35">
        <v>3.133806874753509E-3</v>
      </c>
      <c r="G35">
        <v>-2.210759134233176E-2</v>
      </c>
    </row>
    <row r="36" spans="1:7" x14ac:dyDescent="0.2">
      <c r="A36" s="2">
        <v>41152</v>
      </c>
      <c r="B36">
        <v>-7.3735189044153993E-3</v>
      </c>
      <c r="C36">
        <v>-3.1596158708468207E-2</v>
      </c>
      <c r="D36">
        <v>2.680038752333647E-2</v>
      </c>
      <c r="E36">
        <v>-1.5887766139636939E-2</v>
      </c>
      <c r="F36">
        <v>-3.0155664463311301E-2</v>
      </c>
      <c r="G36">
        <v>-2.440746430157659E-2</v>
      </c>
    </row>
    <row r="37" spans="1:7" x14ac:dyDescent="0.2">
      <c r="A37" s="2">
        <v>41159</v>
      </c>
      <c r="B37">
        <v>3.0887203456344552E-3</v>
      </c>
      <c r="C37">
        <v>2.154557063701068E-2</v>
      </c>
      <c r="D37">
        <v>1.8488447042678931E-2</v>
      </c>
      <c r="E37">
        <v>5.7774197103031222E-2</v>
      </c>
      <c r="F37">
        <v>4.6887471224070776E-3</v>
      </c>
      <c r="G37">
        <v>-6.0750566040295162E-3</v>
      </c>
    </row>
    <row r="38" spans="1:7" x14ac:dyDescent="0.2">
      <c r="A38" s="2">
        <v>41166</v>
      </c>
      <c r="B38">
        <v>9.6572202795321971E-3</v>
      </c>
      <c r="C38">
        <v>-5.7249628590427806E-3</v>
      </c>
      <c r="D38">
        <v>-2.1353130534056408E-3</v>
      </c>
      <c r="E38">
        <v>5.30842002023868E-2</v>
      </c>
      <c r="F38">
        <v>-1.6677229520880129E-2</v>
      </c>
      <c r="G38">
        <v>2.6249211904144639E-2</v>
      </c>
    </row>
    <row r="39" spans="1:7" x14ac:dyDescent="0.2">
      <c r="A39" s="2">
        <v>41173</v>
      </c>
      <c r="B39">
        <v>-5.4414435973784807E-2</v>
      </c>
      <c r="C39">
        <v>1.515514440730392E-3</v>
      </c>
      <c r="D39">
        <v>-1.4272207917204181E-3</v>
      </c>
      <c r="E39">
        <v>-3.875184958289335E-2</v>
      </c>
      <c r="F39">
        <v>7.4091983872637268E-3</v>
      </c>
      <c r="G39">
        <v>9.108674347064305E-3</v>
      </c>
    </row>
    <row r="40" spans="1:7" x14ac:dyDescent="0.2">
      <c r="A40" s="2">
        <v>41180</v>
      </c>
      <c r="B40">
        <v>1.1276069826540169E-2</v>
      </c>
      <c r="C40">
        <v>1.452255248367385E-2</v>
      </c>
      <c r="D40">
        <v>9.8236501599588966E-3</v>
      </c>
      <c r="E40">
        <v>-1.97046833356842E-2</v>
      </c>
      <c r="F40">
        <v>1.356657703513098E-2</v>
      </c>
      <c r="G40">
        <v>-1.3194845632045539E-2</v>
      </c>
    </row>
    <row r="41" spans="1:7" x14ac:dyDescent="0.2">
      <c r="A41" s="2">
        <v>41187</v>
      </c>
      <c r="B41">
        <v>1.4600375820443819E-2</v>
      </c>
      <c r="C41">
        <v>4.175315886204567E-3</v>
      </c>
      <c r="D41">
        <v>1.5741195321879561E-2</v>
      </c>
      <c r="E41">
        <v>2.0407705792188761E-2</v>
      </c>
      <c r="F41">
        <v>2.2737375076834269E-2</v>
      </c>
      <c r="G41">
        <v>-5.9822104975506551E-3</v>
      </c>
    </row>
    <row r="42" spans="1:7" x14ac:dyDescent="0.2">
      <c r="A42" s="2">
        <v>41194</v>
      </c>
      <c r="B42">
        <v>-1.257688302776327E-2</v>
      </c>
      <c r="C42">
        <v>-1.217727869002916E-2</v>
      </c>
      <c r="D42">
        <v>-1.0099526525520149E-2</v>
      </c>
      <c r="E42">
        <v>-1.9394720543843169E-2</v>
      </c>
      <c r="F42">
        <v>-1.119492147905121E-2</v>
      </c>
      <c r="G42">
        <v>-2.4778855956690941E-2</v>
      </c>
    </row>
    <row r="43" spans="1:7" x14ac:dyDescent="0.2">
      <c r="A43" s="2">
        <v>41201</v>
      </c>
      <c r="B43">
        <v>6.0817103088104396E-3</v>
      </c>
      <c r="C43">
        <v>1.0222121651887409E-2</v>
      </c>
      <c r="D43">
        <v>2.937562743823707E-2</v>
      </c>
      <c r="E43">
        <v>4.3263794982504773E-2</v>
      </c>
      <c r="F43">
        <v>4.7826416237588543E-3</v>
      </c>
      <c r="G43">
        <v>2.7222600138936851E-2</v>
      </c>
    </row>
    <row r="44" spans="1:7" x14ac:dyDescent="0.2">
      <c r="A44" s="2">
        <v>41208</v>
      </c>
      <c r="B44">
        <v>-1.28871018967508E-2</v>
      </c>
      <c r="C44">
        <v>-5.952779508584416E-3</v>
      </c>
      <c r="D44">
        <v>-1.864629803769902E-2</v>
      </c>
      <c r="E44">
        <v>-1.747711083197934E-2</v>
      </c>
      <c r="F44">
        <v>4.7615588019604971E-3</v>
      </c>
      <c r="G44">
        <v>-3.5440251571983161E-4</v>
      </c>
    </row>
    <row r="45" spans="1:7" x14ac:dyDescent="0.2">
      <c r="A45" s="2">
        <v>41215</v>
      </c>
      <c r="B45">
        <v>5.6598195143269248E-3</v>
      </c>
      <c r="C45">
        <v>1.676709870875559E-2</v>
      </c>
      <c r="D45">
        <v>1.2845296026732461E-2</v>
      </c>
      <c r="E45">
        <v>4.4618597848967052E-2</v>
      </c>
      <c r="F45">
        <v>2.0218247068466422E-2</v>
      </c>
      <c r="G45">
        <v>-8.129389196381509E-3</v>
      </c>
    </row>
    <row r="46" spans="1:7" x14ac:dyDescent="0.2">
      <c r="A46" s="2">
        <v>41222</v>
      </c>
      <c r="B46">
        <v>-7.5832265793653866E-3</v>
      </c>
      <c r="C46">
        <v>-4.7113494302333248E-3</v>
      </c>
      <c r="D46">
        <v>-2.9708375269228201E-2</v>
      </c>
      <c r="E46">
        <v>-4.011586583591642E-2</v>
      </c>
      <c r="F46">
        <v>-1.549000678737755E-3</v>
      </c>
      <c r="G46">
        <v>-6.0577937891912459E-3</v>
      </c>
    </row>
    <row r="47" spans="1:7" x14ac:dyDescent="0.2">
      <c r="A47" s="2">
        <v>41229</v>
      </c>
      <c r="B47">
        <v>-1.5280349424194871E-2</v>
      </c>
      <c r="C47">
        <v>-2.2928193613535489E-2</v>
      </c>
      <c r="D47">
        <v>-4.1186712470926423E-3</v>
      </c>
      <c r="E47">
        <v>-5.1713099869496681E-2</v>
      </c>
      <c r="F47">
        <v>-2.6205395887820782E-2</v>
      </c>
      <c r="G47">
        <v>-1.6493213056157141E-2</v>
      </c>
    </row>
    <row r="48" spans="1:7" x14ac:dyDescent="0.2">
      <c r="A48" s="2">
        <v>41236</v>
      </c>
      <c r="B48">
        <v>2.7039893935220549E-2</v>
      </c>
      <c r="C48">
        <v>7.0256941874617951E-3</v>
      </c>
      <c r="D48">
        <v>4.1891388461250623E-2</v>
      </c>
      <c r="E48">
        <v>6.0558386519246277E-2</v>
      </c>
      <c r="F48">
        <v>3.4712600445855779E-2</v>
      </c>
      <c r="G48">
        <v>7.321725131471446E-3</v>
      </c>
    </row>
    <row r="49" spans="1:7" x14ac:dyDescent="0.2">
      <c r="A49" s="2">
        <v>41243</v>
      </c>
      <c r="B49">
        <v>2.2663586830873769E-2</v>
      </c>
      <c r="C49">
        <v>1.274273123696279E-2</v>
      </c>
      <c r="D49">
        <v>1.6392712510715279E-2</v>
      </c>
      <c r="E49">
        <v>-2.575579783438986E-2</v>
      </c>
      <c r="F49">
        <v>-2.1544139599221079E-3</v>
      </c>
      <c r="G49">
        <v>1.4650405617946389E-3</v>
      </c>
    </row>
    <row r="50" spans="1:7" x14ac:dyDescent="0.2">
      <c r="A50" s="2">
        <v>41250</v>
      </c>
      <c r="B50">
        <v>1.9135469004784019E-2</v>
      </c>
      <c r="C50">
        <v>-2.09666928866914E-3</v>
      </c>
      <c r="D50">
        <v>-7.1300956004857197E-3</v>
      </c>
      <c r="E50">
        <v>-6.7782341917089761E-3</v>
      </c>
      <c r="F50">
        <v>9.2545862687520852E-4</v>
      </c>
      <c r="G50">
        <v>1.425915631648533E-2</v>
      </c>
    </row>
    <row r="51" spans="1:7" x14ac:dyDescent="0.2">
      <c r="A51" s="2">
        <v>41257</v>
      </c>
      <c r="B51">
        <v>-1.2461916559502569E-2</v>
      </c>
      <c r="C51">
        <v>1.5010814701221561E-2</v>
      </c>
      <c r="D51">
        <v>1.1970779565291689E-2</v>
      </c>
      <c r="E51">
        <v>-3.721354943197031E-3</v>
      </c>
      <c r="F51">
        <v>1.6184919270554769E-2</v>
      </c>
      <c r="G51">
        <v>2.3070418308875459E-2</v>
      </c>
    </row>
    <row r="52" spans="1:7" x14ac:dyDescent="0.2">
      <c r="A52" s="2">
        <v>41264</v>
      </c>
      <c r="B52">
        <v>1.1838114553744729E-2</v>
      </c>
      <c r="C52">
        <v>5.9154461103099187E-3</v>
      </c>
      <c r="D52">
        <v>2.1291723110382851E-2</v>
      </c>
      <c r="E52">
        <v>1.6499298011673161E-2</v>
      </c>
      <c r="F52">
        <v>3.3695743325026228E-3</v>
      </c>
      <c r="G52">
        <v>1.33897681971693E-2</v>
      </c>
    </row>
    <row r="53" spans="1:7" x14ac:dyDescent="0.2">
      <c r="A53" s="2">
        <v>41271</v>
      </c>
      <c r="B53">
        <v>-7.06343429855949E-3</v>
      </c>
      <c r="C53">
        <v>-3.2344568119387911E-3</v>
      </c>
      <c r="D53">
        <v>-1.141662294623569E-2</v>
      </c>
      <c r="E53">
        <v>-1.31692077801242E-2</v>
      </c>
      <c r="F53">
        <v>-1.221442515999982E-3</v>
      </c>
      <c r="G53">
        <v>-7.3025479641719571E-3</v>
      </c>
    </row>
    <row r="54" spans="1:7" x14ac:dyDescent="0.2">
      <c r="A54" s="2">
        <v>41278</v>
      </c>
      <c r="B54">
        <v>6.7812195264860256E-3</v>
      </c>
      <c r="C54">
        <v>1.7994444658174791E-2</v>
      </c>
      <c r="D54">
        <v>2.209295554578139E-2</v>
      </c>
      <c r="E54">
        <v>4.221008171231988E-2</v>
      </c>
      <c r="F54">
        <v>-3.8205290528876561E-3</v>
      </c>
      <c r="G54">
        <v>1.681211785478709E-2</v>
      </c>
    </row>
    <row r="55" spans="1:7" x14ac:dyDescent="0.2">
      <c r="A55" s="2">
        <v>41285</v>
      </c>
      <c r="B55">
        <v>2.418012234257683E-2</v>
      </c>
      <c r="C55">
        <v>-4.6353501435201228E-3</v>
      </c>
      <c r="D55">
        <v>-2.7820680948262839E-3</v>
      </c>
      <c r="E55">
        <v>-1.786194247378581E-3</v>
      </c>
      <c r="F55">
        <v>-3.0678138089020872E-3</v>
      </c>
      <c r="G55">
        <v>8.2676382224755596E-3</v>
      </c>
    </row>
    <row r="56" spans="1:7" x14ac:dyDescent="0.2">
      <c r="A56" s="2">
        <v>41292</v>
      </c>
      <c r="B56">
        <v>1.897365177258958E-2</v>
      </c>
      <c r="C56">
        <v>4.0752281108260568E-3</v>
      </c>
      <c r="D56">
        <v>1.379259665951627E-2</v>
      </c>
      <c r="E56">
        <v>6.5633524899135756E-3</v>
      </c>
      <c r="F56">
        <v>9.2323917184535809E-3</v>
      </c>
      <c r="G56">
        <v>2.0499652668842131E-2</v>
      </c>
    </row>
    <row r="57" spans="1:7" x14ac:dyDescent="0.2">
      <c r="A57" s="2">
        <v>41299</v>
      </c>
      <c r="B57">
        <v>1.089651535660097E-2</v>
      </c>
      <c r="C57">
        <v>-3.190410920485109E-3</v>
      </c>
      <c r="D57">
        <v>1.560207001350067E-2</v>
      </c>
      <c r="E57">
        <v>1.8672028732476861E-2</v>
      </c>
      <c r="F57">
        <v>-8.5382209723017244E-3</v>
      </c>
      <c r="G57">
        <v>3.6492374948591477E-2</v>
      </c>
    </row>
    <row r="58" spans="1:7" x14ac:dyDescent="0.2">
      <c r="A58" s="2">
        <v>41306</v>
      </c>
      <c r="B58">
        <v>1.5707486495311061E-3</v>
      </c>
      <c r="C58">
        <v>4.3623262487095804E-3</v>
      </c>
      <c r="D58">
        <v>7.08629131683991E-3</v>
      </c>
      <c r="E58">
        <v>1.4548545629937679E-3</v>
      </c>
      <c r="F58">
        <v>3.8905620271875392E-2</v>
      </c>
      <c r="G58">
        <v>-3.5532080578288831E-3</v>
      </c>
    </row>
    <row r="59" spans="1:7" x14ac:dyDescent="0.2">
      <c r="A59" s="2">
        <v>41313</v>
      </c>
      <c r="B59">
        <v>2.215195286902261E-2</v>
      </c>
      <c r="C59">
        <v>-2.172134293874339E-2</v>
      </c>
      <c r="D59">
        <v>5.5959350209691117E-3</v>
      </c>
      <c r="E59">
        <v>-6.1591899904842151E-2</v>
      </c>
      <c r="F59">
        <v>-2.308994800257691E-2</v>
      </c>
      <c r="G59">
        <v>-2.9160460290412749E-3</v>
      </c>
    </row>
    <row r="60" spans="1:7" x14ac:dyDescent="0.2">
      <c r="A60" s="2">
        <v>41320</v>
      </c>
      <c r="B60">
        <v>2.8316827936698759E-2</v>
      </c>
      <c r="C60">
        <v>-1.271786702669175E-2</v>
      </c>
      <c r="D60">
        <v>6.5196274561771794E-3</v>
      </c>
      <c r="E60">
        <v>-1.7028260227722861E-2</v>
      </c>
      <c r="F60">
        <v>2.742467376206581E-2</v>
      </c>
      <c r="G60">
        <v>1.300482335368391E-3</v>
      </c>
    </row>
    <row r="61" spans="1:7" x14ac:dyDescent="0.2">
      <c r="A61" s="2">
        <v>41327</v>
      </c>
      <c r="B61">
        <v>-5.467393244401153E-3</v>
      </c>
      <c r="C61">
        <v>2.3304967233850778E-2</v>
      </c>
      <c r="D61">
        <v>1.5007404311269569E-2</v>
      </c>
      <c r="E61">
        <v>6.298020687414807E-3</v>
      </c>
      <c r="F61">
        <v>2.477538576211891E-2</v>
      </c>
      <c r="G61">
        <v>1.382747534140361E-3</v>
      </c>
    </row>
    <row r="62" spans="1:7" x14ac:dyDescent="0.2">
      <c r="A62" s="2">
        <v>41334</v>
      </c>
      <c r="B62">
        <v>3.828517918272456E-2</v>
      </c>
      <c r="C62">
        <v>-5.0278588450963779E-3</v>
      </c>
      <c r="D62">
        <v>-7.4706417369627687E-3</v>
      </c>
      <c r="E62">
        <v>-2.8840689855454071E-2</v>
      </c>
      <c r="F62">
        <v>1.9859463511634701E-2</v>
      </c>
      <c r="G62">
        <v>2.6549844248945579E-2</v>
      </c>
    </row>
    <row r="63" spans="1:7" x14ac:dyDescent="0.2">
      <c r="A63" s="2">
        <v>41341</v>
      </c>
      <c r="B63">
        <v>-6.088663818432094E-4</v>
      </c>
      <c r="C63">
        <v>2.6762819458638898E-3</v>
      </c>
      <c r="D63">
        <v>-2.101300838700404E-2</v>
      </c>
      <c r="E63">
        <v>1.7799705179665452E-2</v>
      </c>
      <c r="F63">
        <v>-6.4817739702897059E-3</v>
      </c>
      <c r="G63">
        <v>9.2595288560117783E-3</v>
      </c>
    </row>
    <row r="64" spans="1:7" x14ac:dyDescent="0.2">
      <c r="A64" s="2">
        <v>41348</v>
      </c>
      <c r="B64">
        <v>-1.3349015505929601E-2</v>
      </c>
      <c r="C64">
        <v>-1.126654944012861E-2</v>
      </c>
      <c r="D64">
        <v>-1.6018080938022039E-2</v>
      </c>
      <c r="E64">
        <v>6.9949460433411659E-3</v>
      </c>
      <c r="F64">
        <v>-2.5801429224576729E-3</v>
      </c>
      <c r="G64">
        <v>4.0177302091719103E-2</v>
      </c>
    </row>
    <row r="65" spans="1:7" x14ac:dyDescent="0.2">
      <c r="A65" s="2">
        <v>41355</v>
      </c>
      <c r="B65">
        <v>-2.450921915497839E-2</v>
      </c>
      <c r="C65">
        <v>1.049372535285387E-2</v>
      </c>
      <c r="D65">
        <v>-9.7685255121349179E-4</v>
      </c>
      <c r="E65">
        <v>-2.210248779502566E-2</v>
      </c>
      <c r="F65">
        <v>1.1491468113729031E-3</v>
      </c>
      <c r="G65">
        <v>3.3466505236152688E-3</v>
      </c>
    </row>
    <row r="66" spans="1:7" x14ac:dyDescent="0.2">
      <c r="A66" s="2">
        <v>41362</v>
      </c>
      <c r="B66">
        <v>2.6129702660137921E-2</v>
      </c>
      <c r="C66">
        <v>1.335314280065969E-2</v>
      </c>
      <c r="D66">
        <v>-2.76991635784074E-3</v>
      </c>
      <c r="E66">
        <v>-1.7113004184071579E-2</v>
      </c>
      <c r="F66">
        <v>7.0336039539939943E-3</v>
      </c>
      <c r="G66">
        <v>-9.0904308064376771E-4</v>
      </c>
    </row>
    <row r="67" spans="1:7" x14ac:dyDescent="0.2">
      <c r="A67" s="2">
        <v>41369</v>
      </c>
      <c r="B67">
        <v>-3.6729742837636747E-2</v>
      </c>
      <c r="C67">
        <v>-1.141866366911037E-2</v>
      </c>
      <c r="D67">
        <v>-2.5815675732958621E-2</v>
      </c>
      <c r="E67">
        <v>-3.8764773086663477E-2</v>
      </c>
      <c r="F67">
        <v>-1.82440528404334E-2</v>
      </c>
      <c r="G67">
        <v>-1.9113741059552991E-2</v>
      </c>
    </row>
    <row r="68" spans="1:7" x14ac:dyDescent="0.2">
      <c r="A68" s="2">
        <v>41376</v>
      </c>
      <c r="B68">
        <v>7.7263635436670697E-3</v>
      </c>
      <c r="C68">
        <v>-1.1844232062250271E-3</v>
      </c>
      <c r="D68">
        <v>3.3211122608707733E-2</v>
      </c>
      <c r="E68">
        <v>-1.503739448111441E-2</v>
      </c>
      <c r="F68">
        <v>1.9164320960840971E-2</v>
      </c>
      <c r="G68">
        <v>2.28892068151525E-2</v>
      </c>
    </row>
    <row r="69" spans="1:7" x14ac:dyDescent="0.2">
      <c r="A69" s="2">
        <v>41383</v>
      </c>
      <c r="B69">
        <v>-6.3557043874172816E-3</v>
      </c>
      <c r="C69">
        <v>-3.2616507725877759E-3</v>
      </c>
      <c r="D69">
        <v>-2.4344939930214249E-3</v>
      </c>
      <c r="E69">
        <v>-2.3942862724628089E-2</v>
      </c>
      <c r="F69">
        <v>3.2763966321798448E-2</v>
      </c>
      <c r="G69">
        <v>4.8389628604599277E-3</v>
      </c>
    </row>
    <row r="70" spans="1:7" x14ac:dyDescent="0.2">
      <c r="A70" s="2">
        <v>41390</v>
      </c>
      <c r="B70">
        <v>-9.7484690957974074E-3</v>
      </c>
      <c r="C70">
        <v>2.2313987248431699E-2</v>
      </c>
      <c r="D70">
        <v>-1.2993723859809349E-2</v>
      </c>
      <c r="E70">
        <v>4.0881914751784272E-2</v>
      </c>
      <c r="F70">
        <v>-1.6828352255864321E-2</v>
      </c>
      <c r="G70">
        <v>1.6550686191246559E-2</v>
      </c>
    </row>
    <row r="71" spans="1:7" x14ac:dyDescent="0.2">
      <c r="A71" s="2">
        <v>41397</v>
      </c>
      <c r="B71">
        <v>2.091975601568441E-2</v>
      </c>
      <c r="C71">
        <v>1.5133839884427619E-2</v>
      </c>
      <c r="D71">
        <v>1.782839149347271E-2</v>
      </c>
      <c r="E71">
        <v>6.1817866962781583E-2</v>
      </c>
      <c r="F71">
        <v>1.3186889530635071E-2</v>
      </c>
      <c r="G71">
        <v>1.509712298629395E-2</v>
      </c>
    </row>
    <row r="72" spans="1:7" x14ac:dyDescent="0.2">
      <c r="A72" s="2">
        <v>41404</v>
      </c>
      <c r="B72">
        <v>2.9128610172069361E-2</v>
      </c>
      <c r="C72">
        <v>-1.1467473076374411E-2</v>
      </c>
      <c r="D72">
        <v>9.1671569053044522E-3</v>
      </c>
      <c r="E72">
        <v>3.0557364276759591E-2</v>
      </c>
      <c r="F72">
        <v>3.8768623776314959E-2</v>
      </c>
      <c r="G72">
        <v>1.370601938861005E-2</v>
      </c>
    </row>
    <row r="73" spans="1:7" x14ac:dyDescent="0.2">
      <c r="A73" s="2">
        <v>41411</v>
      </c>
      <c r="B73">
        <v>3.142776051679852E-2</v>
      </c>
      <c r="C73">
        <v>-5.1272762858770582E-3</v>
      </c>
      <c r="D73">
        <v>8.4342303464728374E-3</v>
      </c>
      <c r="E73">
        <v>2.7465117016100878E-2</v>
      </c>
      <c r="F73">
        <v>-3.1988773965585531E-3</v>
      </c>
      <c r="G73">
        <v>2.1577581087137251E-2</v>
      </c>
    </row>
    <row r="74" spans="1:7" x14ac:dyDescent="0.2">
      <c r="A74" s="2">
        <v>41418</v>
      </c>
      <c r="B74">
        <v>-1.107194287733626E-2</v>
      </c>
      <c r="C74">
        <v>-1.059043440497154E-2</v>
      </c>
      <c r="D74">
        <v>2.1875452628388858E-2</v>
      </c>
      <c r="E74">
        <v>-2.9465211501683911E-2</v>
      </c>
      <c r="F74">
        <v>-5.6160121850653546E-3</v>
      </c>
      <c r="G74">
        <v>3.3747475085897261E-2</v>
      </c>
    </row>
    <row r="75" spans="1:7" x14ac:dyDescent="0.2">
      <c r="A75" s="2">
        <v>41425</v>
      </c>
      <c r="B75">
        <v>6.6980112975569828E-3</v>
      </c>
      <c r="C75">
        <v>-1.843522813729237E-2</v>
      </c>
      <c r="D75">
        <v>-3.148199896688697E-2</v>
      </c>
      <c r="E75">
        <v>-9.3895295363876086E-3</v>
      </c>
      <c r="F75">
        <v>-2.8778508174634121E-2</v>
      </c>
      <c r="G75">
        <v>-5.1416637501739082E-2</v>
      </c>
    </row>
    <row r="76" spans="1:7" x14ac:dyDescent="0.2">
      <c r="A76" s="2">
        <v>41432</v>
      </c>
      <c r="B76">
        <v>-2.7756092364462411E-2</v>
      </c>
      <c r="C76">
        <v>-1.6661529116495211E-2</v>
      </c>
      <c r="D76">
        <v>-2.502926952487761E-2</v>
      </c>
      <c r="E76">
        <v>6.6780441258147416E-3</v>
      </c>
      <c r="F76">
        <v>-3.0524234325119751E-2</v>
      </c>
      <c r="G76">
        <v>-1.449256415876232E-3</v>
      </c>
    </row>
    <row r="77" spans="1:7" x14ac:dyDescent="0.2">
      <c r="A77" s="2">
        <v>41439</v>
      </c>
      <c r="B77">
        <v>-1.943735461685903E-2</v>
      </c>
      <c r="C77">
        <v>1.663586228043612E-2</v>
      </c>
      <c r="D77">
        <v>9.3728623729028016E-7</v>
      </c>
      <c r="E77">
        <v>-2.2110377680065959E-2</v>
      </c>
      <c r="F77">
        <v>1.442214754663107E-3</v>
      </c>
      <c r="G77">
        <v>-2.2641642506005422E-2</v>
      </c>
    </row>
    <row r="78" spans="1:7" x14ac:dyDescent="0.2">
      <c r="A78" s="2">
        <v>41446</v>
      </c>
      <c r="B78">
        <v>-5.2054127343613699E-3</v>
      </c>
      <c r="C78">
        <v>-5.0607079078926032E-2</v>
      </c>
      <c r="D78">
        <v>-1.3502114844057609E-2</v>
      </c>
      <c r="E78">
        <v>-5.1675153537239504E-3</v>
      </c>
      <c r="F78">
        <v>-3.3986150410545653E-2</v>
      </c>
      <c r="G78">
        <v>-5.9388634385515449E-4</v>
      </c>
    </row>
    <row r="79" spans="1:7" x14ac:dyDescent="0.2">
      <c r="A79" s="2">
        <v>41453</v>
      </c>
      <c r="B79">
        <v>3.0595742043085791E-2</v>
      </c>
      <c r="C79">
        <v>2.7448928692628941E-2</v>
      </c>
      <c r="D79">
        <v>3.5485746960497673E-2</v>
      </c>
      <c r="E79">
        <v>6.4932512850823798E-3</v>
      </c>
      <c r="F79">
        <v>-8.4676155779668805E-2</v>
      </c>
      <c r="G79">
        <v>1.9911676726490631E-2</v>
      </c>
    </row>
    <row r="80" spans="1:7" x14ac:dyDescent="0.2">
      <c r="A80" s="2">
        <v>41460</v>
      </c>
      <c r="B80">
        <v>1.0350253022861191E-2</v>
      </c>
      <c r="C80">
        <v>-2.1435850230930309E-2</v>
      </c>
      <c r="D80">
        <v>-6.6906681388079203E-3</v>
      </c>
      <c r="E80">
        <v>4.193899931340006E-3</v>
      </c>
      <c r="F80">
        <v>2.4755289038034919E-2</v>
      </c>
      <c r="G80">
        <v>2.331531735609182E-3</v>
      </c>
    </row>
    <row r="81" spans="1:7" x14ac:dyDescent="0.2">
      <c r="A81" s="2">
        <v>41467</v>
      </c>
      <c r="B81">
        <v>1.420751738021608E-2</v>
      </c>
      <c r="C81">
        <v>2.7300663498477151E-2</v>
      </c>
      <c r="D81">
        <v>1.527781490170965E-2</v>
      </c>
      <c r="E81">
        <v>4.2081883031268592E-2</v>
      </c>
      <c r="F81">
        <v>1.0808098519829111E-2</v>
      </c>
      <c r="G81">
        <v>2.5872066914886419E-2</v>
      </c>
    </row>
    <row r="82" spans="1:7" x14ac:dyDescent="0.2">
      <c r="A82" s="2">
        <v>41474</v>
      </c>
      <c r="B82">
        <v>5.9082195297259776E-3</v>
      </c>
      <c r="C82">
        <v>-6.1760716439540619E-4</v>
      </c>
      <c r="D82">
        <v>5.323512328083857E-2</v>
      </c>
      <c r="E82">
        <v>1.7262237482922771E-2</v>
      </c>
      <c r="F82">
        <v>-5.66018792168832E-3</v>
      </c>
      <c r="G82">
        <v>1.4168218982319351E-2</v>
      </c>
    </row>
    <row r="83" spans="1:7" x14ac:dyDescent="0.2">
      <c r="A83" s="2">
        <v>41481</v>
      </c>
      <c r="B83">
        <v>-2.1885080006491031E-2</v>
      </c>
      <c r="C83">
        <v>-3.401402474795923E-3</v>
      </c>
      <c r="D83">
        <v>8.2884619462344489E-3</v>
      </c>
      <c r="E83">
        <v>-1.212100463855181E-2</v>
      </c>
      <c r="F83">
        <v>-6.9572015875781767E-3</v>
      </c>
      <c r="G83">
        <v>1.313140153667813E-2</v>
      </c>
    </row>
    <row r="84" spans="1:7" x14ac:dyDescent="0.2">
      <c r="A84" s="2">
        <v>41488</v>
      </c>
      <c r="B84">
        <v>1.084761414701374E-2</v>
      </c>
      <c r="C84">
        <v>-2.4827397733971912E-3</v>
      </c>
      <c r="D84">
        <v>-8.770054627636692E-3</v>
      </c>
      <c r="E84">
        <v>4.0183840899887802E-2</v>
      </c>
      <c r="F84">
        <v>6.3787716421215279E-4</v>
      </c>
      <c r="G84">
        <v>-1.406481260808801E-2</v>
      </c>
    </row>
    <row r="85" spans="1:7" x14ac:dyDescent="0.2">
      <c r="A85" s="2">
        <v>41495</v>
      </c>
      <c r="B85">
        <v>-2.6925736114693729E-2</v>
      </c>
      <c r="C85">
        <v>-1.2753342010540569E-2</v>
      </c>
      <c r="D85">
        <v>-1.132918948415629E-2</v>
      </c>
      <c r="E85">
        <v>-2.064329419493971E-2</v>
      </c>
      <c r="F85">
        <v>-1.5914386372540279E-2</v>
      </c>
      <c r="G85">
        <v>-3.3559856570574138E-3</v>
      </c>
    </row>
    <row r="86" spans="1:7" x14ac:dyDescent="0.2">
      <c r="A86" s="2">
        <v>41502</v>
      </c>
      <c r="B86">
        <v>9.8202071016073589E-5</v>
      </c>
      <c r="C86">
        <v>-6.9008625284094896E-3</v>
      </c>
      <c r="D86">
        <v>1.0361384340071391E-2</v>
      </c>
      <c r="E86">
        <v>6.383710182038782E-2</v>
      </c>
      <c r="F86">
        <v>3.3958952234660167E-2</v>
      </c>
      <c r="G86">
        <v>1.010300890304738E-2</v>
      </c>
    </row>
    <row r="87" spans="1:7" x14ac:dyDescent="0.2">
      <c r="A87" s="2">
        <v>41509</v>
      </c>
      <c r="B87">
        <v>-3.839542773876548E-3</v>
      </c>
      <c r="C87">
        <v>-2.371122972156248E-2</v>
      </c>
      <c r="D87">
        <v>1.180821163183254E-2</v>
      </c>
      <c r="E87">
        <v>2.0661725908030611E-2</v>
      </c>
      <c r="F87">
        <v>-5.0051793177684489E-3</v>
      </c>
      <c r="G87">
        <v>-7.2844651847386874E-3</v>
      </c>
    </row>
    <row r="88" spans="1:7" x14ac:dyDescent="0.2">
      <c r="A88" s="2">
        <v>41516</v>
      </c>
      <c r="B88">
        <v>-2.362266858821227E-2</v>
      </c>
      <c r="C88">
        <v>-3.9388028119800023E-3</v>
      </c>
      <c r="D88">
        <v>-3.3774542367865919E-3</v>
      </c>
      <c r="E88">
        <v>-9.9819163991079485E-3</v>
      </c>
      <c r="F88">
        <v>1.6033389500378359E-2</v>
      </c>
      <c r="G88">
        <v>-2.4583511598141761E-2</v>
      </c>
    </row>
    <row r="89" spans="1:7" x14ac:dyDescent="0.2">
      <c r="A89" s="2">
        <v>41523</v>
      </c>
      <c r="B89">
        <v>2.0025147461002701E-2</v>
      </c>
      <c r="C89">
        <v>1.186161111849349E-2</v>
      </c>
      <c r="D89">
        <v>2.55764663454956E-2</v>
      </c>
      <c r="E89">
        <v>3.3239120825205637E-2</v>
      </c>
      <c r="F89">
        <v>4.1152140785553959E-2</v>
      </c>
      <c r="G89">
        <v>2.4045545277298519E-2</v>
      </c>
    </row>
    <row r="90" spans="1:7" x14ac:dyDescent="0.2">
      <c r="A90" s="2">
        <v>41530</v>
      </c>
      <c r="B90">
        <v>9.4679657104219661E-3</v>
      </c>
      <c r="C90">
        <v>-2.2794192905133959E-2</v>
      </c>
      <c r="D90">
        <v>-1.893001550547024E-2</v>
      </c>
      <c r="E90">
        <v>1.826656988423014E-2</v>
      </c>
      <c r="F90">
        <v>3.3027217946386411E-3</v>
      </c>
      <c r="G90">
        <v>1.386198106291703E-2</v>
      </c>
    </row>
    <row r="91" spans="1:7" x14ac:dyDescent="0.2">
      <c r="A91" s="2">
        <v>41537</v>
      </c>
      <c r="B91">
        <v>2.7645877293854149E-2</v>
      </c>
      <c r="C91">
        <v>4.8317841604937677E-2</v>
      </c>
      <c r="D91">
        <v>1.0107684528347431E-2</v>
      </c>
      <c r="E91">
        <v>-1.2314410019761969E-2</v>
      </c>
      <c r="F91">
        <v>3.4710962236350167E-2</v>
      </c>
      <c r="G91">
        <v>2.2330924394686762E-3</v>
      </c>
    </row>
    <row r="92" spans="1:7" x14ac:dyDescent="0.2">
      <c r="A92" s="2">
        <v>41544</v>
      </c>
      <c r="B92">
        <v>5.9570435710418757E-3</v>
      </c>
      <c r="C92">
        <v>-4.4490723024821488E-3</v>
      </c>
      <c r="D92">
        <v>8.7926369111741565E-3</v>
      </c>
      <c r="E92">
        <v>1.165610453659882E-2</v>
      </c>
      <c r="F92">
        <v>-1.735968947074396E-3</v>
      </c>
      <c r="G92">
        <v>8.6298384067204914E-3</v>
      </c>
    </row>
    <row r="93" spans="1:7" x14ac:dyDescent="0.2">
      <c r="A93" s="2">
        <v>41551</v>
      </c>
      <c r="B93">
        <v>1.2511899941313629E-2</v>
      </c>
      <c r="C93">
        <v>-1.181330036549089E-2</v>
      </c>
      <c r="D93">
        <v>-3.755707110431938E-3</v>
      </c>
      <c r="E93">
        <v>-1.6880509322047991E-2</v>
      </c>
      <c r="F93">
        <v>-2.1147823555187181E-2</v>
      </c>
      <c r="G93">
        <v>-2.1528674093007179E-2</v>
      </c>
    </row>
    <row r="94" spans="1:7" x14ac:dyDescent="0.2">
      <c r="A94" s="2">
        <v>41558</v>
      </c>
      <c r="B94">
        <v>3.2828556258398978E-2</v>
      </c>
      <c r="C94">
        <v>2.4554876399546451E-2</v>
      </c>
      <c r="D94">
        <v>2.6248148145650019E-2</v>
      </c>
      <c r="E94">
        <v>2.9985387943429749E-3</v>
      </c>
      <c r="F94">
        <v>2.5156008938443941E-2</v>
      </c>
      <c r="G94">
        <v>1.382250758857673E-2</v>
      </c>
    </row>
    <row r="95" spans="1:7" x14ac:dyDescent="0.2">
      <c r="A95" s="2">
        <v>41565</v>
      </c>
      <c r="B95">
        <v>3.1970307230080319E-3</v>
      </c>
      <c r="C95">
        <v>9.4612480498632578E-3</v>
      </c>
      <c r="D95">
        <v>2.2050366990162381E-2</v>
      </c>
      <c r="E95">
        <v>2.5272255377589259E-2</v>
      </c>
      <c r="F95">
        <v>1.876516961509456E-2</v>
      </c>
      <c r="G95">
        <v>1.9477286522360251E-3</v>
      </c>
    </row>
    <row r="96" spans="1:7" x14ac:dyDescent="0.2">
      <c r="A96" s="2">
        <v>41572</v>
      </c>
      <c r="B96">
        <v>4.8615189673245851E-2</v>
      </c>
      <c r="C96">
        <v>2.1868587877892139E-2</v>
      </c>
      <c r="D96">
        <v>8.5266082145338817E-3</v>
      </c>
      <c r="E96">
        <v>-1.8560652226534691E-3</v>
      </c>
      <c r="F96">
        <v>4.3921955493861693E-2</v>
      </c>
      <c r="G96">
        <v>2.665924949334952E-2</v>
      </c>
    </row>
    <row r="97" spans="1:7" x14ac:dyDescent="0.2">
      <c r="A97" s="2">
        <v>41579</v>
      </c>
      <c r="B97">
        <v>5.9045563648556509E-3</v>
      </c>
      <c r="C97">
        <v>-7.3380166578755901E-3</v>
      </c>
      <c r="D97">
        <v>1.382409994580547E-2</v>
      </c>
      <c r="E97">
        <v>-2.283567428478506E-2</v>
      </c>
      <c r="F97">
        <v>-9.5002543337355805E-3</v>
      </c>
      <c r="G97">
        <v>7.4113386114780466E-2</v>
      </c>
    </row>
    <row r="98" spans="1:7" x14ac:dyDescent="0.2">
      <c r="A98" s="2">
        <v>41586</v>
      </c>
      <c r="B98">
        <v>8.9773593915725147E-3</v>
      </c>
      <c r="C98">
        <v>-1.8170338276968789E-2</v>
      </c>
      <c r="D98">
        <v>-1.420093652110932E-3</v>
      </c>
      <c r="E98">
        <v>1.9023265505873079E-3</v>
      </c>
      <c r="F98">
        <v>1.123514328966535E-2</v>
      </c>
      <c r="G98">
        <v>9.3177202667218406E-3</v>
      </c>
    </row>
    <row r="99" spans="1:7" x14ac:dyDescent="0.2">
      <c r="A99" s="2">
        <v>41593</v>
      </c>
      <c r="B99">
        <v>3.8493961700982742E-3</v>
      </c>
      <c r="C99">
        <v>5.0829633307118982E-3</v>
      </c>
      <c r="D99">
        <v>1.408005202981966E-2</v>
      </c>
      <c r="E99">
        <v>1.329049802154403E-2</v>
      </c>
      <c r="F99">
        <v>1.49062661577879E-2</v>
      </c>
      <c r="G99">
        <v>-1.2471862008941461E-3</v>
      </c>
    </row>
    <row r="100" spans="1:7" x14ac:dyDescent="0.2">
      <c r="A100" s="2">
        <v>41600</v>
      </c>
      <c r="B100">
        <v>1.2953220704564171E-2</v>
      </c>
      <c r="C100">
        <v>-5.3589328671936887E-3</v>
      </c>
      <c r="D100">
        <v>2.8052856808298281E-3</v>
      </c>
      <c r="E100">
        <v>1.6060412461060158E-2</v>
      </c>
      <c r="F100">
        <v>-1.22820621813351E-2</v>
      </c>
      <c r="G100">
        <v>6.5438168538125563E-3</v>
      </c>
    </row>
    <row r="101" spans="1:7" x14ac:dyDescent="0.2">
      <c r="A101" s="2">
        <v>41607</v>
      </c>
      <c r="B101">
        <v>5.3847174314480828E-3</v>
      </c>
      <c r="C101">
        <v>-1.2990181595987639E-2</v>
      </c>
      <c r="D101">
        <v>-1.4824750173756059E-2</v>
      </c>
      <c r="E101">
        <v>-3.5299872166390973E-2</v>
      </c>
      <c r="F101">
        <v>1.5410253046892921E-2</v>
      </c>
      <c r="G101">
        <v>-9.5119644658414604E-3</v>
      </c>
    </row>
    <row r="102" spans="1:7" x14ac:dyDescent="0.2">
      <c r="A102" s="2">
        <v>41614</v>
      </c>
      <c r="B102">
        <v>0.51681866005491206</v>
      </c>
      <c r="C102">
        <v>8.3470595296648575E-3</v>
      </c>
      <c r="D102">
        <v>-1.9733516924247071E-2</v>
      </c>
      <c r="E102">
        <v>-1.8945390269594301E-2</v>
      </c>
      <c r="F102">
        <v>-2.3429340348934961E-2</v>
      </c>
      <c r="G102">
        <v>-6.8240486908184286E-3</v>
      </c>
    </row>
    <row r="103" spans="1:7" x14ac:dyDescent="0.2">
      <c r="A103" s="2">
        <v>41621</v>
      </c>
      <c r="B103">
        <v>-3.5043804603033579E-2</v>
      </c>
      <c r="C103">
        <v>-4.1070139025888193E-2</v>
      </c>
      <c r="D103">
        <v>-1.187538863359894E-2</v>
      </c>
      <c r="E103">
        <v>1.9589052184889599E-3</v>
      </c>
      <c r="F103">
        <v>-6.1495713620642878E-3</v>
      </c>
      <c r="G103">
        <v>-8.3956226481750607E-3</v>
      </c>
    </row>
    <row r="104" spans="1:7" x14ac:dyDescent="0.2">
      <c r="A104" s="2">
        <v>41628</v>
      </c>
      <c r="B104">
        <v>3.0465214124630439E-2</v>
      </c>
      <c r="C104">
        <v>1.328140374591813E-2</v>
      </c>
      <c r="D104">
        <v>2.9752030021847009E-2</v>
      </c>
      <c r="E104">
        <v>1.36874438106549E-2</v>
      </c>
      <c r="F104">
        <v>-1.0803087861780971E-2</v>
      </c>
      <c r="G104">
        <v>2.8483326697399169E-2</v>
      </c>
    </row>
    <row r="105" spans="1:7" x14ac:dyDescent="0.2">
      <c r="A105" s="2">
        <v>41635</v>
      </c>
      <c r="B105">
        <v>1.3027938908138029E-2</v>
      </c>
      <c r="C105">
        <v>-4.2593223447163764E-3</v>
      </c>
      <c r="D105">
        <v>1.465951085323525E-2</v>
      </c>
      <c r="E105">
        <v>2.6178500273849489E-2</v>
      </c>
      <c r="F105">
        <v>2.7443100432459341E-2</v>
      </c>
      <c r="G105">
        <v>1.3471993930574079E-2</v>
      </c>
    </row>
    <row r="106" spans="1:7" x14ac:dyDescent="0.2">
      <c r="A106" s="2">
        <v>41642</v>
      </c>
      <c r="B106">
        <v>-9.3987803626873756E-3</v>
      </c>
      <c r="C106">
        <v>9.8661278344769343E-4</v>
      </c>
      <c r="D106">
        <v>1.4028758680093569E-3</v>
      </c>
      <c r="E106">
        <v>-1.7723377742030921E-2</v>
      </c>
      <c r="F106">
        <v>2.453175301876831E-3</v>
      </c>
      <c r="G106">
        <v>-1.5016725118707001E-2</v>
      </c>
    </row>
    <row r="107" spans="1:7" x14ac:dyDescent="0.2">
      <c r="A107" s="2">
        <v>41649</v>
      </c>
      <c r="B107">
        <v>-1.148498217453364E-2</v>
      </c>
      <c r="C107">
        <v>-9.8756626185692031E-4</v>
      </c>
      <c r="D107">
        <v>-2.940822256881304E-3</v>
      </c>
      <c r="E107">
        <v>3.7725021790976587E-2</v>
      </c>
      <c r="F107">
        <v>-5.4374928498353006E-3</v>
      </c>
      <c r="G107">
        <v>2.2743807949326289E-2</v>
      </c>
    </row>
    <row r="108" spans="1:7" x14ac:dyDescent="0.2">
      <c r="A108" s="2">
        <v>41656</v>
      </c>
      <c r="B108">
        <v>-1.3638561635249241E-2</v>
      </c>
      <c r="C108">
        <v>-5.2652687389326269E-3</v>
      </c>
      <c r="D108">
        <v>9.553893559575144E-3</v>
      </c>
      <c r="E108">
        <v>-1.527898676797346E-2</v>
      </c>
      <c r="F108">
        <v>2.1597424621160769E-2</v>
      </c>
      <c r="G108">
        <v>7.332244946603117E-3</v>
      </c>
    </row>
    <row r="109" spans="1:7" x14ac:dyDescent="0.2">
      <c r="A109" s="2">
        <v>41663</v>
      </c>
      <c r="B109">
        <v>-1.109676786547042E-2</v>
      </c>
      <c r="C109">
        <v>2.646125578555036E-3</v>
      </c>
      <c r="D109">
        <v>-9.8636463163538357E-3</v>
      </c>
      <c r="E109">
        <v>-1.2573779089588229E-2</v>
      </c>
      <c r="F109">
        <v>-1.7394612735722629E-2</v>
      </c>
      <c r="G109">
        <v>-2.5957377485434471E-2</v>
      </c>
    </row>
    <row r="110" spans="1:7" x14ac:dyDescent="0.2">
      <c r="A110" s="2">
        <v>41670</v>
      </c>
      <c r="B110">
        <v>2.8999437290327279E-2</v>
      </c>
      <c r="C110">
        <v>1.0227794195793781E-2</v>
      </c>
      <c r="D110">
        <v>-2.213137319742586E-2</v>
      </c>
      <c r="E110">
        <v>-8.669153268990426E-3</v>
      </c>
      <c r="F110">
        <v>6.0185619142224089E-2</v>
      </c>
      <c r="G110">
        <v>7.4640457618202483E-4</v>
      </c>
    </row>
    <row r="111" spans="1:7" x14ac:dyDescent="0.2">
      <c r="A111" s="2">
        <v>41677</v>
      </c>
      <c r="B111">
        <v>1.761451397882885E-2</v>
      </c>
      <c r="C111">
        <v>1.2083769059410001E-2</v>
      </c>
      <c r="D111">
        <v>1.6974402688727519E-2</v>
      </c>
      <c r="E111">
        <v>-9.0181255842164409E-3</v>
      </c>
      <c r="F111">
        <v>-3.6732705772079211E-2</v>
      </c>
      <c r="G111">
        <v>-3.7320613971573162E-3</v>
      </c>
    </row>
    <row r="112" spans="1:7" x14ac:dyDescent="0.2">
      <c r="A112" s="2">
        <v>41684</v>
      </c>
      <c r="B112">
        <v>1.9946581442324751E-2</v>
      </c>
      <c r="C112">
        <v>1.287175054277778E-3</v>
      </c>
      <c r="D112">
        <v>1.583366348005066E-2</v>
      </c>
      <c r="E112">
        <v>1.2687091743120099E-2</v>
      </c>
      <c r="F112">
        <v>8.7996865938215763E-3</v>
      </c>
      <c r="G112">
        <v>-5.8705391684006347E-2</v>
      </c>
    </row>
    <row r="113" spans="1:7" x14ac:dyDescent="0.2">
      <c r="A113" s="2">
        <v>41691</v>
      </c>
      <c r="B113">
        <v>1.778733073896754E-3</v>
      </c>
      <c r="C113">
        <v>3.2565274485474299E-4</v>
      </c>
      <c r="D113">
        <v>1.8957574058753309E-2</v>
      </c>
      <c r="E113">
        <v>-1.90672861829011E-3</v>
      </c>
      <c r="F113">
        <v>2.511244749241515E-2</v>
      </c>
      <c r="G113">
        <v>2.756623300196881E-2</v>
      </c>
    </row>
    <row r="114" spans="1:7" x14ac:dyDescent="0.2">
      <c r="A114" s="2">
        <v>41698</v>
      </c>
      <c r="B114">
        <v>9.358411917884224E-3</v>
      </c>
      <c r="C114">
        <v>-2.928886845585454E-3</v>
      </c>
      <c r="D114">
        <v>-8.4076919907768444E-3</v>
      </c>
      <c r="E114">
        <v>3.0011687094539941E-3</v>
      </c>
      <c r="F114">
        <v>1.160417096062916E-2</v>
      </c>
      <c r="G114">
        <v>-9.1276774189525955E-3</v>
      </c>
    </row>
    <row r="115" spans="1:7" x14ac:dyDescent="0.2">
      <c r="A115" s="2">
        <v>41705</v>
      </c>
      <c r="B115">
        <v>-1.9059774166154671E-3</v>
      </c>
      <c r="C115">
        <v>8.0315248673912265E-8</v>
      </c>
      <c r="D115">
        <v>-3.4746472204015828E-3</v>
      </c>
      <c r="E115">
        <v>1.040218536519211E-2</v>
      </c>
      <c r="F115">
        <v>-7.9022055411657188E-3</v>
      </c>
      <c r="G115">
        <v>-4.2118787450809991E-3</v>
      </c>
    </row>
    <row r="116" spans="1:7" x14ac:dyDescent="0.2">
      <c r="A116" s="2">
        <v>41712</v>
      </c>
      <c r="B116">
        <v>-3.3767803290412068E-3</v>
      </c>
      <c r="C116">
        <v>2.1220688013727559E-2</v>
      </c>
      <c r="D116">
        <v>-7.3910961264710417E-3</v>
      </c>
      <c r="E116">
        <v>-1.815280613318182E-2</v>
      </c>
      <c r="F116">
        <v>2.3349516512016781E-3</v>
      </c>
      <c r="G116">
        <v>-1.9556611165540749E-2</v>
      </c>
    </row>
    <row r="117" spans="1:7" x14ac:dyDescent="0.2">
      <c r="A117" s="2">
        <v>41719</v>
      </c>
      <c r="B117">
        <v>2.4198385290978841E-3</v>
      </c>
      <c r="C117">
        <v>-2.8767831921880931E-3</v>
      </c>
      <c r="D117">
        <v>1.390911136584916E-2</v>
      </c>
      <c r="E117">
        <v>2.758899796622805E-3</v>
      </c>
      <c r="F117">
        <v>1.112494229912353E-2</v>
      </c>
      <c r="G117">
        <v>2.8031479096023881E-2</v>
      </c>
    </row>
    <row r="118" spans="1:7" x14ac:dyDescent="0.2">
      <c r="A118" s="2">
        <v>41726</v>
      </c>
      <c r="B118">
        <v>-1.1267202850412489E-2</v>
      </c>
      <c r="C118">
        <v>1.025829799282962E-2</v>
      </c>
      <c r="D118">
        <v>3.8805999355508991E-3</v>
      </c>
      <c r="E118">
        <v>5.0907695189054143E-2</v>
      </c>
      <c r="F118">
        <v>3.2497129850300732E-2</v>
      </c>
      <c r="G118">
        <v>-1.389509159562397E-2</v>
      </c>
    </row>
    <row r="119" spans="1:7" x14ac:dyDescent="0.2">
      <c r="A119" s="2">
        <v>41733</v>
      </c>
      <c r="B119">
        <v>-1.6208185232136069E-4</v>
      </c>
      <c r="C119">
        <v>-1.2703117406596129E-3</v>
      </c>
      <c r="D119">
        <v>6.4885022492746636E-3</v>
      </c>
      <c r="E119">
        <v>3.561130854231731E-2</v>
      </c>
      <c r="F119">
        <v>-4.5600735091597677E-2</v>
      </c>
      <c r="G119">
        <v>2.5525492000436412E-2</v>
      </c>
    </row>
    <row r="120" spans="1:7" x14ac:dyDescent="0.2">
      <c r="A120" s="2">
        <v>41740</v>
      </c>
      <c r="B120">
        <v>-2.279397044404341E-2</v>
      </c>
      <c r="C120">
        <v>1.8429844326269821E-2</v>
      </c>
      <c r="D120">
        <v>-8.2246740111280303E-4</v>
      </c>
      <c r="E120">
        <v>-2.0227460628632339E-3</v>
      </c>
      <c r="F120">
        <v>-1.194488391090232E-2</v>
      </c>
      <c r="G120">
        <v>-3.4741066706344907E-2</v>
      </c>
    </row>
    <row r="121" spans="1:7" x14ac:dyDescent="0.2">
      <c r="A121" s="2">
        <v>41747</v>
      </c>
      <c r="B121">
        <v>4.0486123187771339E-2</v>
      </c>
      <c r="C121">
        <v>-1.247820393552757E-3</v>
      </c>
      <c r="D121">
        <v>7.8238596668569471E-3</v>
      </c>
      <c r="E121">
        <v>2.5335499676953251E-2</v>
      </c>
      <c r="F121">
        <v>9.7243498586294663E-3</v>
      </c>
      <c r="G121">
        <v>3.008254196230253E-2</v>
      </c>
    </row>
    <row r="122" spans="1:7" x14ac:dyDescent="0.2">
      <c r="A122" s="2">
        <v>41754</v>
      </c>
      <c r="B122">
        <v>2.0495618360374172E-2</v>
      </c>
      <c r="C122">
        <v>4.6856488552515776E-3</v>
      </c>
      <c r="D122">
        <v>-4.0927891483519829E-3</v>
      </c>
      <c r="E122">
        <v>1.2107364350874891E-2</v>
      </c>
      <c r="F122">
        <v>-9.890187189116717E-3</v>
      </c>
      <c r="G122">
        <v>-4.6945769140979143E-3</v>
      </c>
    </row>
    <row r="123" spans="1:7" x14ac:dyDescent="0.2">
      <c r="A123" s="2">
        <v>41761</v>
      </c>
      <c r="B123">
        <v>4.3931550240015049E-3</v>
      </c>
      <c r="C123">
        <v>1.1505104301352541E-2</v>
      </c>
      <c r="D123">
        <v>1.0772532092734989E-2</v>
      </c>
      <c r="E123">
        <v>5.5175393172841147E-2</v>
      </c>
      <c r="F123">
        <v>1.7349416850359619E-2</v>
      </c>
      <c r="G123">
        <v>2.6985705515793379E-2</v>
      </c>
    </row>
    <row r="124" spans="1:7" x14ac:dyDescent="0.2">
      <c r="A124" s="2">
        <v>41768</v>
      </c>
      <c r="B124">
        <v>1.8740587104297819E-3</v>
      </c>
      <c r="C124">
        <v>3.0642155023108408E-4</v>
      </c>
      <c r="D124">
        <v>-1.3670679068190641E-3</v>
      </c>
      <c r="E124">
        <v>-2.498778897147114E-2</v>
      </c>
      <c r="F124">
        <v>2.5063594418428089E-2</v>
      </c>
      <c r="G124">
        <v>-1.1224083674262531E-2</v>
      </c>
    </row>
    <row r="125" spans="1:7" x14ac:dyDescent="0.2">
      <c r="A125" s="2">
        <v>41775</v>
      </c>
      <c r="B125">
        <v>1.7152583107100661E-3</v>
      </c>
      <c r="C125">
        <v>3.3740961830883709E-3</v>
      </c>
      <c r="D125">
        <v>-3.421380749251357E-3</v>
      </c>
      <c r="E125">
        <v>1.976113199742002E-7</v>
      </c>
      <c r="F125">
        <v>2.1427088944655951E-2</v>
      </c>
      <c r="G125">
        <v>3.3538507643819941E-3</v>
      </c>
    </row>
    <row r="126" spans="1:7" x14ac:dyDescent="0.2">
      <c r="A126" s="2">
        <v>41782</v>
      </c>
      <c r="B126">
        <v>1.3698130495076731E-2</v>
      </c>
      <c r="C126">
        <v>1.0515953164312201E-2</v>
      </c>
      <c r="D126">
        <v>3.3772466325108663E-2</v>
      </c>
      <c r="E126">
        <v>5.9321527503868321E-3</v>
      </c>
      <c r="F126">
        <v>2.7640100261884459E-2</v>
      </c>
      <c r="G126">
        <v>-7.0930024595623484E-3</v>
      </c>
    </row>
    <row r="127" spans="1:7" x14ac:dyDescent="0.2">
      <c r="A127" s="2">
        <v>41789</v>
      </c>
      <c r="B127">
        <v>9.8277701440525611E-3</v>
      </c>
      <c r="C127">
        <v>-3.9791269510618399E-3</v>
      </c>
      <c r="D127">
        <v>-8.7647767150402789E-3</v>
      </c>
      <c r="E127">
        <v>-1.5570580992384951E-2</v>
      </c>
      <c r="F127">
        <v>-1.6570204965024479E-2</v>
      </c>
      <c r="G127">
        <v>-1.725387929525268E-2</v>
      </c>
    </row>
    <row r="128" spans="1:7" x14ac:dyDescent="0.2">
      <c r="A128" s="2">
        <v>41796</v>
      </c>
      <c r="B128">
        <v>2.742621761697572E-2</v>
      </c>
      <c r="C128">
        <v>-1.8437587418879461E-2</v>
      </c>
      <c r="D128">
        <v>1.206394247763809E-3</v>
      </c>
      <c r="E128">
        <v>3.2457367364262968E-2</v>
      </c>
      <c r="F128">
        <v>1.196494132172266E-2</v>
      </c>
      <c r="G128">
        <v>1.7026292881609621E-2</v>
      </c>
    </row>
    <row r="129" spans="1:7" x14ac:dyDescent="0.2">
      <c r="A129" s="2">
        <v>41803</v>
      </c>
      <c r="B129">
        <v>9.3597164044658676E-3</v>
      </c>
      <c r="C129">
        <v>-5.9486453224082414E-3</v>
      </c>
      <c r="D129">
        <v>6.690367293049837E-3</v>
      </c>
      <c r="E129">
        <v>8.1679004329025862E-2</v>
      </c>
      <c r="F129">
        <v>7.7928359432617436E-3</v>
      </c>
      <c r="G129">
        <v>5.2319656887487298E-3</v>
      </c>
    </row>
    <row r="130" spans="1:7" x14ac:dyDescent="0.2">
      <c r="A130" s="2">
        <v>41810</v>
      </c>
      <c r="B130">
        <v>5.0049461084320512E-3</v>
      </c>
      <c r="C130">
        <v>1.5747914879217229E-2</v>
      </c>
      <c r="D130">
        <v>-3.455729906539529E-3</v>
      </c>
      <c r="E130">
        <v>-6.0413767741369639E-3</v>
      </c>
      <c r="F130">
        <v>-2.8758432332780859E-2</v>
      </c>
      <c r="G130">
        <v>7.0267271726394132E-3</v>
      </c>
    </row>
    <row r="131" spans="1:7" x14ac:dyDescent="0.2">
      <c r="A131" s="2">
        <v>41817</v>
      </c>
      <c r="B131">
        <v>5.8582139694951518E-3</v>
      </c>
      <c r="C131">
        <v>3.720497930270739E-3</v>
      </c>
      <c r="D131">
        <v>1.4138779714451429E-2</v>
      </c>
      <c r="E131">
        <v>-9.984430965538138E-3</v>
      </c>
      <c r="F131">
        <v>-5.4738499753047556E-3</v>
      </c>
      <c r="G131">
        <v>7.7380198804077871E-4</v>
      </c>
    </row>
    <row r="132" spans="1:7" x14ac:dyDescent="0.2">
      <c r="A132" s="2">
        <v>41824</v>
      </c>
      <c r="B132">
        <v>1.9509868759291171E-2</v>
      </c>
      <c r="C132">
        <v>-6.0098570897615389E-8</v>
      </c>
      <c r="D132">
        <v>1.486241455234749E-2</v>
      </c>
      <c r="E132">
        <v>-6.5775145619828557E-3</v>
      </c>
      <c r="F132">
        <v>-1.0008735958441099E-3</v>
      </c>
      <c r="G132">
        <v>8.5205966949049028E-3</v>
      </c>
    </row>
    <row r="133" spans="1:7" x14ac:dyDescent="0.2">
      <c r="A133" s="2">
        <v>41831</v>
      </c>
      <c r="B133">
        <v>6.2847590519130581E-3</v>
      </c>
      <c r="C133">
        <v>1.3282892080967329E-2</v>
      </c>
      <c r="D133">
        <v>1.5292397681391011E-2</v>
      </c>
      <c r="E133">
        <v>-2.3616316022406551E-2</v>
      </c>
      <c r="F133">
        <v>-2.3541379678841071E-2</v>
      </c>
      <c r="G133">
        <v>1.1520596081922241E-2</v>
      </c>
    </row>
    <row r="134" spans="1:7" x14ac:dyDescent="0.2">
      <c r="A134" s="2">
        <v>41838</v>
      </c>
      <c r="B134">
        <v>3.7184968666520428E-2</v>
      </c>
      <c r="C134">
        <v>-3.0581495052495189E-4</v>
      </c>
      <c r="D134">
        <v>1.7360139671897201E-2</v>
      </c>
      <c r="E134">
        <v>8.5891727330487111E-3</v>
      </c>
      <c r="F134">
        <v>-4.6164309013259066E-3</v>
      </c>
      <c r="G134">
        <v>-1.2657718220483449E-3</v>
      </c>
    </row>
    <row r="135" spans="1:7" x14ac:dyDescent="0.2">
      <c r="A135" s="2">
        <v>41845</v>
      </c>
      <c r="B135">
        <v>1.2863008727229451E-2</v>
      </c>
      <c r="C135">
        <v>5.1841043196743097E-3</v>
      </c>
      <c r="D135">
        <v>1.1347626659045981E-2</v>
      </c>
      <c r="E135">
        <v>2.12907741679218E-2</v>
      </c>
      <c r="F135">
        <v>-3.2724194320682631E-2</v>
      </c>
      <c r="G135">
        <v>1.064376723977478E-2</v>
      </c>
    </row>
    <row r="136" spans="1:7" x14ac:dyDescent="0.2">
      <c r="A136" s="2">
        <v>41852</v>
      </c>
      <c r="B136">
        <v>-2.580388565810399E-2</v>
      </c>
      <c r="C136">
        <v>3.9441135915554426E-3</v>
      </c>
      <c r="D136">
        <v>-6.509205802192608E-3</v>
      </c>
      <c r="E136">
        <v>-4.6961224846386318E-2</v>
      </c>
      <c r="F136">
        <v>1.1453459801398671E-2</v>
      </c>
      <c r="G136">
        <v>2.7833446144865489E-2</v>
      </c>
    </row>
    <row r="137" spans="1:7" x14ac:dyDescent="0.2">
      <c r="A137" s="2">
        <v>41859</v>
      </c>
      <c r="B137">
        <v>7.4887876003728593E-3</v>
      </c>
      <c r="C137">
        <v>1.118155145788857E-2</v>
      </c>
      <c r="D137">
        <v>-5.1646428363798513E-3</v>
      </c>
      <c r="E137">
        <v>-9.9009098983823263E-3</v>
      </c>
      <c r="F137">
        <v>1.317183121473775E-3</v>
      </c>
      <c r="G137">
        <v>-9.7644530626950221E-4</v>
      </c>
    </row>
    <row r="138" spans="1:7" x14ac:dyDescent="0.2">
      <c r="A138" s="2">
        <v>41866</v>
      </c>
      <c r="B138">
        <v>2.0923372536097991E-2</v>
      </c>
      <c r="C138">
        <v>1.358653552589195E-2</v>
      </c>
      <c r="D138">
        <v>1.127227376470508E-2</v>
      </c>
      <c r="E138">
        <v>-1.3946403854977469E-3</v>
      </c>
      <c r="F138">
        <v>1.104804830387951E-2</v>
      </c>
      <c r="G138">
        <v>8.3029235555960312E-3</v>
      </c>
    </row>
    <row r="139" spans="1:7" x14ac:dyDescent="0.2">
      <c r="A139" s="2">
        <v>41873</v>
      </c>
      <c r="B139">
        <v>2.6425837192420639E-2</v>
      </c>
      <c r="C139">
        <v>-3.2747874044929399E-3</v>
      </c>
      <c r="D139">
        <v>1.189718843392407E-2</v>
      </c>
      <c r="E139">
        <v>2.3753956906755521E-2</v>
      </c>
      <c r="F139">
        <v>6.5029834374747963E-3</v>
      </c>
      <c r="G139">
        <v>2.9119568116700019E-3</v>
      </c>
    </row>
    <row r="140" spans="1:7" x14ac:dyDescent="0.2">
      <c r="A140" s="2">
        <v>41880</v>
      </c>
      <c r="B140">
        <v>2.574482386567745E-2</v>
      </c>
      <c r="C140">
        <v>2.0912983748215819E-3</v>
      </c>
      <c r="D140">
        <v>-3.7205483377444892E-4</v>
      </c>
      <c r="E140">
        <v>1.592361298930323E-2</v>
      </c>
      <c r="F140">
        <v>2.5588325260970098E-2</v>
      </c>
      <c r="G140">
        <v>3.8972389953002562E-3</v>
      </c>
    </row>
    <row r="141" spans="1:7" x14ac:dyDescent="0.2">
      <c r="A141" s="2">
        <v>41887</v>
      </c>
      <c r="B141">
        <v>2.6636689092041529E-2</v>
      </c>
      <c r="C141">
        <v>1.3412633475451191E-2</v>
      </c>
      <c r="D141">
        <v>-1.2346478437585959E-4</v>
      </c>
      <c r="E141">
        <v>-5.7552247373101606E-3</v>
      </c>
      <c r="F141">
        <v>4.2842297395699891E-3</v>
      </c>
      <c r="G141">
        <v>6.0673486136815216E-3</v>
      </c>
    </row>
    <row r="142" spans="1:7" x14ac:dyDescent="0.2">
      <c r="A142" s="2">
        <v>41894</v>
      </c>
      <c r="B142">
        <v>8.0083142737872315E-3</v>
      </c>
      <c r="C142">
        <v>9.999483128822817E-3</v>
      </c>
      <c r="D142">
        <v>1.7335397086552181E-2</v>
      </c>
      <c r="E142">
        <v>-2.7197324506337269E-2</v>
      </c>
      <c r="F142">
        <v>5.6132622125755196E-3</v>
      </c>
      <c r="G142">
        <v>5.788886024618245E-3</v>
      </c>
    </row>
    <row r="143" spans="1:7" x14ac:dyDescent="0.2">
      <c r="A143" s="2">
        <v>41901</v>
      </c>
      <c r="B143">
        <v>8.5646751004353483E-3</v>
      </c>
      <c r="C143">
        <v>6.6984109374668144E-3</v>
      </c>
      <c r="D143">
        <v>-4.3806478245479452E-3</v>
      </c>
      <c r="E143">
        <v>-2.1668217888756391E-2</v>
      </c>
      <c r="F143">
        <v>-1.5368737370453189E-2</v>
      </c>
      <c r="G143">
        <v>-3.2853364488670711E-2</v>
      </c>
    </row>
    <row r="144" spans="1:7" x14ac:dyDescent="0.2">
      <c r="A144" s="2">
        <v>41908</v>
      </c>
      <c r="B144">
        <v>-1.858379596109283E-2</v>
      </c>
      <c r="C144">
        <v>-1.3017069008899981E-2</v>
      </c>
      <c r="D144">
        <v>-1.6626007319589738E-2</v>
      </c>
      <c r="E144">
        <v>-3.096060167740133E-2</v>
      </c>
      <c r="F144">
        <v>-1.305110099283302E-2</v>
      </c>
      <c r="G144">
        <v>3.9671080847289994E-3</v>
      </c>
    </row>
    <row r="145" spans="1:7" x14ac:dyDescent="0.2">
      <c r="A145" s="2">
        <v>41915</v>
      </c>
      <c r="B145">
        <v>-7.2743581016968539E-3</v>
      </c>
      <c r="C145">
        <v>2.6670986030827629E-2</v>
      </c>
      <c r="D145">
        <v>-5.222208954230867E-3</v>
      </c>
      <c r="E145">
        <v>-2.064325726036198E-2</v>
      </c>
      <c r="F145">
        <v>1.0372946412513521E-2</v>
      </c>
      <c r="G145">
        <v>3.2107020521118468E-2</v>
      </c>
    </row>
    <row r="146" spans="1:7" x14ac:dyDescent="0.2">
      <c r="A146" s="2">
        <v>41922</v>
      </c>
      <c r="B146">
        <v>-8.7290901395205345E-2</v>
      </c>
      <c r="C146">
        <v>-9.7064320047425268E-3</v>
      </c>
      <c r="D146">
        <v>-4.7483726571875273E-3</v>
      </c>
      <c r="E146">
        <v>-8.0050604526114566E-2</v>
      </c>
      <c r="F146">
        <v>-1.3600224151895549E-2</v>
      </c>
      <c r="G146">
        <v>-2.4407906966422699E-2</v>
      </c>
    </row>
    <row r="147" spans="1:7" x14ac:dyDescent="0.2">
      <c r="A147" s="2">
        <v>41929</v>
      </c>
      <c r="B147">
        <v>1.8685260124791769E-2</v>
      </c>
      <c r="C147">
        <v>4.6124169452066432E-3</v>
      </c>
      <c r="D147">
        <v>-1.0297332253981439E-2</v>
      </c>
      <c r="E147">
        <v>2.9186878535567558E-2</v>
      </c>
      <c r="F147">
        <v>-1.04048681882406E-2</v>
      </c>
      <c r="G147">
        <v>-1.913196694133457E-2</v>
      </c>
    </row>
    <row r="148" spans="1:7" x14ac:dyDescent="0.2">
      <c r="A148" s="2">
        <v>41936</v>
      </c>
      <c r="B148">
        <v>4.9863658031846343E-2</v>
      </c>
      <c r="C148">
        <v>1.4821180707182521E-2</v>
      </c>
      <c r="D148">
        <v>1.534779847534851E-2</v>
      </c>
      <c r="E148">
        <v>3.0215657325303621E-2</v>
      </c>
      <c r="F148">
        <v>3.9958861934037859E-2</v>
      </c>
      <c r="G148">
        <v>3.7508734213519627E-2</v>
      </c>
    </row>
    <row r="149" spans="1:7" x14ac:dyDescent="0.2">
      <c r="A149" s="2">
        <v>41943</v>
      </c>
      <c r="B149">
        <v>2.8341349616147319E-2</v>
      </c>
      <c r="C149">
        <v>4.7944636064285888E-2</v>
      </c>
      <c r="D149">
        <v>9.2087897151378328E-3</v>
      </c>
      <c r="E149">
        <v>2.9585929629364349E-2</v>
      </c>
      <c r="F149">
        <v>2.0980791162087401E-2</v>
      </c>
      <c r="G149">
        <v>1.0604336934977089E-2</v>
      </c>
    </row>
    <row r="150" spans="1:7" x14ac:dyDescent="0.2">
      <c r="A150" s="2">
        <v>41950</v>
      </c>
      <c r="B150">
        <v>-6.9213135966765824E-3</v>
      </c>
      <c r="C150">
        <v>2.7777823925019041E-2</v>
      </c>
      <c r="D150">
        <v>1.337435204630077E-2</v>
      </c>
      <c r="E150">
        <v>-2.0739523627618332E-2</v>
      </c>
      <c r="F150">
        <v>1.534973793321082E-2</v>
      </c>
      <c r="G150">
        <v>1.6933544117014861E-2</v>
      </c>
    </row>
    <row r="151" spans="1:7" x14ac:dyDescent="0.2">
      <c r="A151" s="2">
        <v>41957</v>
      </c>
      <c r="B151">
        <v>1.9643122843800102E-2</v>
      </c>
      <c r="C151">
        <v>2.3845639531179241E-3</v>
      </c>
      <c r="D151">
        <v>1.393620898770331E-2</v>
      </c>
      <c r="E151">
        <v>9.6968916346726886E-3</v>
      </c>
      <c r="F151">
        <v>4.2429756319947172E-2</v>
      </c>
      <c r="G151">
        <v>1.7589125038768749E-2</v>
      </c>
    </row>
    <row r="152" spans="1:7" x14ac:dyDescent="0.2">
      <c r="A152" s="2">
        <v>41964</v>
      </c>
      <c r="B152">
        <v>6.8355221700744373E-3</v>
      </c>
      <c r="C152">
        <v>2.7754342772482898E-2</v>
      </c>
      <c r="D152">
        <v>3.8920136411861872E-3</v>
      </c>
      <c r="E152">
        <v>2.4007818153502839E-2</v>
      </c>
      <c r="F152">
        <v>-7.4859448549792207E-3</v>
      </c>
      <c r="G152">
        <v>2.9877655219823218E-4</v>
      </c>
    </row>
    <row r="153" spans="1:7" x14ac:dyDescent="0.2">
      <c r="A153" s="2">
        <v>41971</v>
      </c>
      <c r="B153">
        <v>2.7149901316463332E-3</v>
      </c>
      <c r="C153">
        <v>4.4496187723430218E-2</v>
      </c>
      <c r="D153">
        <v>7.6335665448941104E-3</v>
      </c>
      <c r="E153">
        <v>-0.10883510011784669</v>
      </c>
      <c r="F153">
        <v>2.0034418752047811E-2</v>
      </c>
      <c r="G153">
        <v>5.9726148488793651E-2</v>
      </c>
    </row>
    <row r="154" spans="1:7" x14ac:dyDescent="0.2">
      <c r="A154" s="2">
        <v>41978</v>
      </c>
      <c r="B154">
        <v>-4.4565467089143662E-2</v>
      </c>
      <c r="C154">
        <v>-2.4871402352068309E-2</v>
      </c>
      <c r="D154">
        <v>-3.3188703399214432E-2</v>
      </c>
      <c r="E154">
        <v>-2.3719612292183449E-3</v>
      </c>
      <c r="F154">
        <v>-4.2744812833690693E-2</v>
      </c>
      <c r="G154">
        <v>-6.7972054528384618E-3</v>
      </c>
    </row>
    <row r="155" spans="1:7" x14ac:dyDescent="0.2">
      <c r="A155" s="2">
        <v>41985</v>
      </c>
      <c r="B155">
        <v>-4.7785592234473317E-2</v>
      </c>
      <c r="C155">
        <v>-3.8383467201878678E-2</v>
      </c>
      <c r="D155">
        <v>-3.7190088681577027E-2</v>
      </c>
      <c r="E155">
        <v>-0.10125928603247859</v>
      </c>
      <c r="F155">
        <v>2.431790710582415E-3</v>
      </c>
      <c r="G155">
        <v>-1.0818032800109839E-2</v>
      </c>
    </row>
    <row r="156" spans="1:7" x14ac:dyDescent="0.2">
      <c r="A156" s="2">
        <v>41992</v>
      </c>
      <c r="B156">
        <v>5.1045621593656998E-2</v>
      </c>
      <c r="C156">
        <v>-3.1519648375448739E-3</v>
      </c>
      <c r="D156">
        <v>2.3381767799838919E-2</v>
      </c>
      <c r="E156">
        <v>0.1235596712345286</v>
      </c>
      <c r="F156">
        <v>1.0698072178730641E-2</v>
      </c>
      <c r="G156">
        <v>4.1072082984775937E-2</v>
      </c>
    </row>
    <row r="157" spans="1:7" x14ac:dyDescent="0.2">
      <c r="A157" s="2">
        <v>41999</v>
      </c>
      <c r="B157">
        <v>3.1516125882020463E-2</v>
      </c>
      <c r="C157">
        <v>2.713468419668286E-2</v>
      </c>
      <c r="D157">
        <v>1.3758805988437929E-2</v>
      </c>
      <c r="E157">
        <v>3.3518554519418098E-2</v>
      </c>
      <c r="F157">
        <v>1.7319551852415401E-2</v>
      </c>
      <c r="G157">
        <v>2.1012725294736079E-2</v>
      </c>
    </row>
    <row r="158" spans="1:7" x14ac:dyDescent="0.2">
      <c r="A158" s="2">
        <v>42006</v>
      </c>
      <c r="B158">
        <v>4.6330881525880052E-3</v>
      </c>
      <c r="C158">
        <v>5.8993590225455694E-3</v>
      </c>
      <c r="D158">
        <v>4.8558274313326164E-3</v>
      </c>
      <c r="E158">
        <v>1.071196826576637E-3</v>
      </c>
      <c r="F158">
        <v>-6.3845294771553984E-3</v>
      </c>
      <c r="G158">
        <v>-1.406938093921695E-2</v>
      </c>
    </row>
    <row r="159" spans="1:7" x14ac:dyDescent="0.2">
      <c r="A159" s="2">
        <v>42013</v>
      </c>
      <c r="B159">
        <v>-1.0594724381326359E-2</v>
      </c>
      <c r="C159">
        <v>4.334626168809752E-3</v>
      </c>
      <c r="D159">
        <v>-3.9900751477529028E-2</v>
      </c>
      <c r="E159">
        <v>-4.6586315516532577E-2</v>
      </c>
      <c r="F159">
        <v>-1.213799950107408E-2</v>
      </c>
      <c r="G159">
        <v>-1.8530659692634229E-2</v>
      </c>
    </row>
    <row r="160" spans="1:7" x14ac:dyDescent="0.2">
      <c r="A160" s="2">
        <v>42020</v>
      </c>
      <c r="B160">
        <v>5.1652526747452132E-3</v>
      </c>
      <c r="C160">
        <v>2.4879329178096651E-2</v>
      </c>
      <c r="D160">
        <v>-2.542566132380741E-2</v>
      </c>
      <c r="E160">
        <v>1.095102568469453E-2</v>
      </c>
      <c r="F160">
        <v>2.8427560599063151E-2</v>
      </c>
      <c r="G160">
        <v>3.5590698344395648E-2</v>
      </c>
    </row>
    <row r="161" spans="1:7" x14ac:dyDescent="0.2">
      <c r="A161" s="2">
        <v>42027</v>
      </c>
      <c r="B161">
        <v>5.8780046172023592E-2</v>
      </c>
      <c r="C161">
        <v>1.0155408436617551E-2</v>
      </c>
      <c r="D161">
        <v>8.8352038580341574E-3</v>
      </c>
      <c r="E161">
        <v>3.7221878594781321E-2</v>
      </c>
      <c r="F161">
        <v>3.4667770086931338E-2</v>
      </c>
      <c r="G161">
        <v>3.4995603002764497E-2</v>
      </c>
    </row>
    <row r="162" spans="1:7" x14ac:dyDescent="0.2">
      <c r="A162" s="2">
        <v>42034</v>
      </c>
      <c r="B162">
        <v>-8.9961479038056513E-3</v>
      </c>
      <c r="C162">
        <v>2.7709277110875789E-2</v>
      </c>
      <c r="D162">
        <v>-4.8793931407974937E-2</v>
      </c>
      <c r="E162">
        <v>1.499651052382966E-2</v>
      </c>
      <c r="F162">
        <v>-1.313141679519458E-2</v>
      </c>
      <c r="G162">
        <v>-1.2756078285554581E-2</v>
      </c>
    </row>
    <row r="163" spans="1:7" x14ac:dyDescent="0.2">
      <c r="A163" s="2">
        <v>42041</v>
      </c>
      <c r="B163">
        <v>4.0731110449051977E-2</v>
      </c>
      <c r="C163">
        <v>-4.5573641264623488E-2</v>
      </c>
      <c r="D163">
        <v>6.0356702973006097E-2</v>
      </c>
      <c r="E163">
        <v>2.2164522433320451E-2</v>
      </c>
      <c r="F163">
        <v>-9.8642846145301499E-3</v>
      </c>
      <c r="G163">
        <v>2.2764537257062841E-2</v>
      </c>
    </row>
    <row r="164" spans="1:7" x14ac:dyDescent="0.2">
      <c r="A164" s="2">
        <v>42048</v>
      </c>
      <c r="B164">
        <v>1.8370458804317651E-3</v>
      </c>
      <c r="C164">
        <v>-8.6402211971935428E-3</v>
      </c>
      <c r="D164">
        <v>1.9325343002169589E-2</v>
      </c>
      <c r="E164">
        <v>1.7036291487320779E-2</v>
      </c>
      <c r="F164">
        <v>6.7190202117759501E-3</v>
      </c>
      <c r="G164">
        <v>-2.0053006043934118E-2</v>
      </c>
    </row>
    <row r="165" spans="1:7" x14ac:dyDescent="0.2">
      <c r="A165" s="2">
        <v>42055</v>
      </c>
      <c r="B165">
        <v>4.6965552462241433E-3</v>
      </c>
      <c r="C165">
        <v>9.918985915303935E-3</v>
      </c>
      <c r="D165">
        <v>-1.9732423361841781E-2</v>
      </c>
      <c r="E165">
        <v>-2.360402605128531E-2</v>
      </c>
      <c r="F165">
        <v>2.278454218648274E-2</v>
      </c>
      <c r="G165">
        <v>1.76625695385213E-2</v>
      </c>
    </row>
    <row r="166" spans="1:7" x14ac:dyDescent="0.2">
      <c r="A166" s="2">
        <v>42062</v>
      </c>
      <c r="B166">
        <v>-1.539179985412098E-2</v>
      </c>
      <c r="C166">
        <v>-3.2739825841486821E-3</v>
      </c>
      <c r="D166">
        <v>3.0258579372233418E-2</v>
      </c>
      <c r="E166">
        <v>-2.4435021812303059E-2</v>
      </c>
      <c r="F166">
        <v>-4.2055347848624081E-7</v>
      </c>
      <c r="G166">
        <v>-5.0696364140986327E-3</v>
      </c>
    </row>
    <row r="167" spans="1:7" x14ac:dyDescent="0.2">
      <c r="A167" s="2">
        <v>42069</v>
      </c>
      <c r="B167">
        <v>-4.3715685082494904E-3</v>
      </c>
      <c r="C167">
        <v>-2.2234300474362919E-2</v>
      </c>
      <c r="D167">
        <v>-1.4685320859162739E-2</v>
      </c>
      <c r="E167">
        <v>-9.0937907582367972E-3</v>
      </c>
      <c r="F167">
        <v>-2.27265812467119E-2</v>
      </c>
      <c r="G167">
        <v>3.6682542662551661E-3</v>
      </c>
    </row>
    <row r="168" spans="1:7" x14ac:dyDescent="0.2">
      <c r="A168" s="2">
        <v>42076</v>
      </c>
      <c r="B168">
        <v>8.2884293219991356E-3</v>
      </c>
      <c r="C168">
        <v>1.705403525538873E-2</v>
      </c>
      <c r="D168">
        <v>-1.9051670421463499E-2</v>
      </c>
      <c r="E168">
        <v>-4.253635803362632E-2</v>
      </c>
      <c r="F168">
        <v>-1.7923189339512199E-2</v>
      </c>
      <c r="G168">
        <v>3.269756115252398E-2</v>
      </c>
    </row>
    <row r="169" spans="1:7" x14ac:dyDescent="0.2">
      <c r="A169" s="2">
        <v>42083</v>
      </c>
      <c r="B169">
        <v>-5.44128936754118E-3</v>
      </c>
      <c r="C169">
        <v>-1.09240104015057E-2</v>
      </c>
      <c r="D169">
        <v>9.2475177767357142E-3</v>
      </c>
      <c r="E169">
        <v>3.112218560994862E-3</v>
      </c>
      <c r="F169">
        <v>-4.0237544341359399E-3</v>
      </c>
      <c r="G169">
        <v>8.2584624568231568E-3</v>
      </c>
    </row>
    <row r="170" spans="1:7" x14ac:dyDescent="0.2">
      <c r="A170" s="2">
        <v>42090</v>
      </c>
      <c r="B170">
        <v>-2.968554114786659E-2</v>
      </c>
      <c r="C170">
        <v>-2.3120003471699402E-3</v>
      </c>
      <c r="D170">
        <v>-1.7018170155632669E-2</v>
      </c>
      <c r="E170">
        <v>3.3286050600241042E-2</v>
      </c>
      <c r="F170">
        <v>-2.614688886076189E-3</v>
      </c>
      <c r="G170">
        <v>-1.4237840936240699E-2</v>
      </c>
    </row>
    <row r="171" spans="1:7" x14ac:dyDescent="0.2">
      <c r="A171" s="2">
        <v>42097</v>
      </c>
      <c r="B171">
        <v>4.079277587515584E-3</v>
      </c>
      <c r="C171">
        <v>2.0599914880090608E-3</v>
      </c>
      <c r="D171">
        <v>2.277243471865931E-2</v>
      </c>
      <c r="E171">
        <v>5.5146305059623042E-2</v>
      </c>
      <c r="F171">
        <v>1.024509807867924E-2</v>
      </c>
      <c r="G171">
        <v>2.5524401452972519E-2</v>
      </c>
    </row>
    <row r="172" spans="1:7" x14ac:dyDescent="0.2">
      <c r="A172" s="2">
        <v>42104</v>
      </c>
      <c r="B172">
        <v>8.2442072738111438E-3</v>
      </c>
      <c r="C172">
        <v>1.490212270640168E-2</v>
      </c>
      <c r="D172">
        <v>3.6459417492476831E-2</v>
      </c>
      <c r="E172">
        <v>2.664924994125006E-2</v>
      </c>
      <c r="F172">
        <v>2.5234949423864169E-2</v>
      </c>
      <c r="G172">
        <v>1.678665162370474E-2</v>
      </c>
    </row>
    <row r="173" spans="1:7" x14ac:dyDescent="0.2">
      <c r="A173" s="2">
        <v>42111</v>
      </c>
      <c r="B173">
        <v>-3.7686075527182512E-2</v>
      </c>
      <c r="C173">
        <v>-5.8225540268865839E-3</v>
      </c>
      <c r="D173">
        <v>1.457347375258689E-2</v>
      </c>
      <c r="E173">
        <v>1.108880354319464E-2</v>
      </c>
      <c r="F173">
        <v>-3.2206116776621108E-2</v>
      </c>
      <c r="G173">
        <v>-4.3642643574934192E-2</v>
      </c>
    </row>
    <row r="174" spans="1:7" x14ac:dyDescent="0.2">
      <c r="A174" s="2">
        <v>42118</v>
      </c>
      <c r="B174">
        <v>-8.1286157079216714E-3</v>
      </c>
      <c r="C174">
        <v>9.9308228731680437E-3</v>
      </c>
      <c r="D174">
        <v>7.3386565222051106E-3</v>
      </c>
      <c r="E174">
        <v>2.4929885734761288E-3</v>
      </c>
      <c r="F174">
        <v>1.6875482803119901E-2</v>
      </c>
      <c r="G174">
        <v>-7.940148392849844E-4</v>
      </c>
    </row>
    <row r="175" spans="1:7" x14ac:dyDescent="0.2">
      <c r="A175" s="2">
        <v>42125</v>
      </c>
      <c r="B175">
        <v>-5.5876223747604037E-3</v>
      </c>
      <c r="C175">
        <v>-1.4876364847274949E-2</v>
      </c>
      <c r="D175">
        <v>-4.2188623390734259E-3</v>
      </c>
      <c r="E175">
        <v>-2.71007419716357E-2</v>
      </c>
      <c r="F175">
        <v>-1.8934644028183231E-2</v>
      </c>
      <c r="G175">
        <v>-3.9718584620823671E-3</v>
      </c>
    </row>
    <row r="176" spans="1:7" x14ac:dyDescent="0.2">
      <c r="A176" s="2">
        <v>42132</v>
      </c>
      <c r="B176">
        <v>-1.6355151663497661E-2</v>
      </c>
      <c r="C176">
        <v>-7.684223893070774E-4</v>
      </c>
      <c r="D176">
        <v>-1.3209888793151211E-2</v>
      </c>
      <c r="E176">
        <v>-6.0311396833474203E-2</v>
      </c>
      <c r="F176">
        <v>1.607346413079469E-6</v>
      </c>
      <c r="G176">
        <v>-1.415328900601376E-2</v>
      </c>
    </row>
    <row r="177" spans="1:7" x14ac:dyDescent="0.2">
      <c r="A177" s="2">
        <v>42139</v>
      </c>
      <c r="B177">
        <v>-4.8488451018277028E-2</v>
      </c>
      <c r="C177">
        <v>4.734094899972785E-3</v>
      </c>
      <c r="D177">
        <v>-5.0522352746943389E-3</v>
      </c>
      <c r="E177">
        <v>-5.1654902208735356E-3</v>
      </c>
      <c r="F177">
        <v>-9.7689934944018564E-3</v>
      </c>
      <c r="G177">
        <v>-3.6411092044428268E-3</v>
      </c>
    </row>
    <row r="178" spans="1:7" x14ac:dyDescent="0.2">
      <c r="A178" s="2">
        <v>42146</v>
      </c>
      <c r="B178">
        <v>-7.3367065622764738E-3</v>
      </c>
      <c r="C178">
        <v>-1.8518475541899448E-2</v>
      </c>
      <c r="D178">
        <v>2.0563480827839431E-2</v>
      </c>
      <c r="E178">
        <v>1.448958022858537E-2</v>
      </c>
      <c r="F178">
        <v>1.275212176733276E-2</v>
      </c>
      <c r="G178">
        <v>1.8658061545925749E-2</v>
      </c>
    </row>
    <row r="179" spans="1:7" x14ac:dyDescent="0.2">
      <c r="A179" s="2">
        <v>42153</v>
      </c>
      <c r="B179">
        <v>-8.6016517375384627E-3</v>
      </c>
      <c r="C179">
        <v>-4.7171287323960476E-3</v>
      </c>
      <c r="D179">
        <v>-1.6541277649376851E-2</v>
      </c>
      <c r="E179">
        <v>-2.04802685632729E-2</v>
      </c>
      <c r="F179">
        <v>5.9392426093254347E-3</v>
      </c>
      <c r="G179">
        <v>-2.4103407279546518E-3</v>
      </c>
    </row>
    <row r="180" spans="1:7" x14ac:dyDescent="0.2">
      <c r="A180" s="2">
        <v>42160</v>
      </c>
      <c r="B180">
        <v>7.1156975885600104E-4</v>
      </c>
      <c r="C180">
        <v>-4.3970732039855132E-2</v>
      </c>
      <c r="D180">
        <v>6.4505811776920394E-3</v>
      </c>
      <c r="E180">
        <v>-1.6787112804679261E-3</v>
      </c>
      <c r="F180">
        <v>-1.4175009887750221E-3</v>
      </c>
      <c r="G180">
        <v>-1.167971951430702E-2</v>
      </c>
    </row>
    <row r="181" spans="1:7" x14ac:dyDescent="0.2">
      <c r="A181" s="2">
        <v>42167</v>
      </c>
      <c r="B181">
        <v>-6.8017135462358214E-3</v>
      </c>
      <c r="C181">
        <v>-1.6249019077149481E-2</v>
      </c>
      <c r="D181">
        <v>-1.7341412865263028E-2</v>
      </c>
      <c r="E181">
        <v>-3.3600190689730969E-2</v>
      </c>
      <c r="F181">
        <v>-2.3584257400372292E-2</v>
      </c>
      <c r="G181">
        <v>-2.343084669407236E-2</v>
      </c>
    </row>
    <row r="182" spans="1:7" x14ac:dyDescent="0.2">
      <c r="A182" s="2">
        <v>42174</v>
      </c>
      <c r="B182">
        <v>1.7121152220693329E-2</v>
      </c>
      <c r="C182">
        <v>7.8388336529944258E-3</v>
      </c>
      <c r="D182">
        <v>-1.7647533587649589E-2</v>
      </c>
      <c r="E182">
        <v>-3.1610450083930493E-2</v>
      </c>
      <c r="F182">
        <v>3.2051601984993683E-2</v>
      </c>
      <c r="G182">
        <v>1.668066058235107E-3</v>
      </c>
    </row>
    <row r="183" spans="1:7" x14ac:dyDescent="0.2">
      <c r="A183" s="2">
        <v>42181</v>
      </c>
      <c r="B183">
        <v>-2.1545615659809721E-2</v>
      </c>
      <c r="C183">
        <v>-1.250054549538882E-2</v>
      </c>
      <c r="D183">
        <v>1.874531590400208E-2</v>
      </c>
      <c r="E183">
        <v>1.988050581934675E-2</v>
      </c>
      <c r="F183">
        <v>2.062482304757696E-2</v>
      </c>
      <c r="G183">
        <v>4.3751199781920658E-3</v>
      </c>
    </row>
    <row r="184" spans="1:7" x14ac:dyDescent="0.2">
      <c r="A184" s="2">
        <v>42188</v>
      </c>
      <c r="B184">
        <v>1.6514936612963101E-2</v>
      </c>
      <c r="C184">
        <v>1.631523331284512E-2</v>
      </c>
      <c r="D184">
        <v>-1.980647245828604E-2</v>
      </c>
      <c r="E184">
        <v>6.6926434219420896E-3</v>
      </c>
      <c r="F184">
        <v>1.835099471423729E-2</v>
      </c>
      <c r="G184">
        <v>-3.6702585370917968E-7</v>
      </c>
    </row>
    <row r="185" spans="1:7" x14ac:dyDescent="0.2">
      <c r="A185" s="2">
        <v>42195</v>
      </c>
      <c r="B185">
        <v>-1.2456345372661271E-2</v>
      </c>
      <c r="C185">
        <v>4.1513069532044264E-3</v>
      </c>
      <c r="D185">
        <v>-1.694653808708924E-3</v>
      </c>
      <c r="E185">
        <v>-1.7340295035810801E-2</v>
      </c>
      <c r="F185">
        <v>3.1924915144625481E-3</v>
      </c>
      <c r="G185">
        <v>6.6360499602191592E-3</v>
      </c>
    </row>
    <row r="186" spans="1:7" x14ac:dyDescent="0.2">
      <c r="A186" s="2">
        <v>42202</v>
      </c>
      <c r="B186">
        <v>6.6766342046874483E-2</v>
      </c>
      <c r="C186">
        <v>5.3748190240989091E-2</v>
      </c>
      <c r="D186">
        <v>9.4016254001130228E-3</v>
      </c>
      <c r="E186">
        <v>1.7057286570429261E-2</v>
      </c>
      <c r="F186">
        <v>2.3191522668431611E-2</v>
      </c>
      <c r="G186">
        <v>3.0078008824093731E-2</v>
      </c>
    </row>
    <row r="187" spans="1:7" x14ac:dyDescent="0.2">
      <c r="A187" s="2">
        <v>42209</v>
      </c>
      <c r="B187">
        <v>1.4779316416841271E-2</v>
      </c>
      <c r="C187">
        <v>-4.1591194340291349E-2</v>
      </c>
      <c r="D187">
        <v>-2.522029417084359E-2</v>
      </c>
      <c r="E187">
        <v>-4.3376946026554841E-2</v>
      </c>
      <c r="F187">
        <v>-1.8445476683690679E-2</v>
      </c>
      <c r="G187">
        <v>-1.9200287360949139E-2</v>
      </c>
    </row>
    <row r="188" spans="1:7" x14ac:dyDescent="0.2">
      <c r="A188" s="2">
        <v>42216</v>
      </c>
      <c r="B188">
        <v>3.3308754159414138E-2</v>
      </c>
      <c r="C188">
        <v>2.2107046663815799E-2</v>
      </c>
      <c r="D188">
        <v>2.2389400816401391E-2</v>
      </c>
      <c r="E188">
        <v>0.1136640161765967</v>
      </c>
      <c r="F188">
        <v>1.086820183009363E-2</v>
      </c>
      <c r="G188">
        <v>7.9730442928245493E-2</v>
      </c>
    </row>
    <row r="189" spans="1:7" x14ac:dyDescent="0.2">
      <c r="A189" s="2">
        <v>42223</v>
      </c>
      <c r="B189">
        <v>2.4408968793854241E-4</v>
      </c>
      <c r="C189">
        <v>-5.8756210539947507E-3</v>
      </c>
      <c r="D189">
        <v>9.1843260035306962E-4</v>
      </c>
      <c r="E189">
        <v>1.3843548918539559E-2</v>
      </c>
      <c r="F189">
        <v>-1.7910086301929919E-3</v>
      </c>
      <c r="G189">
        <v>8.121359759345026E-3</v>
      </c>
    </row>
    <row r="190" spans="1:7" x14ac:dyDescent="0.2">
      <c r="A190" s="2">
        <v>42230</v>
      </c>
      <c r="B190">
        <v>-8.0869909910576965E-3</v>
      </c>
      <c r="C190">
        <v>3.9485712419709003E-2</v>
      </c>
      <c r="D190">
        <v>-4.7174244060659287E-3</v>
      </c>
      <c r="E190">
        <v>-2.40846901677505E-3</v>
      </c>
      <c r="F190">
        <v>-1.7947451411004509E-3</v>
      </c>
      <c r="G190">
        <v>9.1782438586016646E-3</v>
      </c>
    </row>
    <row r="191" spans="1:7" x14ac:dyDescent="0.2">
      <c r="A191" s="2">
        <v>42237</v>
      </c>
      <c r="B191">
        <v>-8.350769397130775E-2</v>
      </c>
      <c r="C191">
        <v>-5.3469123774323453E-2</v>
      </c>
      <c r="D191">
        <v>-4.1727160023016463E-2</v>
      </c>
      <c r="E191">
        <v>-7.9978742565995686E-2</v>
      </c>
      <c r="F191">
        <v>-1.056363889493195E-2</v>
      </c>
      <c r="G191">
        <v>-4.3822696831632528E-2</v>
      </c>
    </row>
    <row r="192" spans="1:7" x14ac:dyDescent="0.2">
      <c r="A192" s="2">
        <v>42244</v>
      </c>
      <c r="B192">
        <v>-8.7608032917181333E-3</v>
      </c>
      <c r="C192">
        <v>2.754087421344598E-2</v>
      </c>
      <c r="D192">
        <v>1.236367535796812E-2</v>
      </c>
      <c r="E192">
        <v>7.3803987010980787E-2</v>
      </c>
      <c r="F192">
        <v>-1.8627929659954079E-2</v>
      </c>
      <c r="G192">
        <v>1.076498406810877E-2</v>
      </c>
    </row>
    <row r="193" spans="1:7" x14ac:dyDescent="0.2">
      <c r="A193" s="2">
        <v>42251</v>
      </c>
      <c r="B193">
        <v>-3.3009448354905491E-2</v>
      </c>
      <c r="C193">
        <v>-6.3522627942458443E-2</v>
      </c>
      <c r="D193">
        <v>-3.8263513815860239E-2</v>
      </c>
      <c r="E193">
        <v>-4.1292778835786297E-2</v>
      </c>
      <c r="F193">
        <v>-6.2511604539576826E-3</v>
      </c>
      <c r="G193">
        <v>-7.748979640465059E-4</v>
      </c>
    </row>
    <row r="194" spans="1:7" x14ac:dyDescent="0.2">
      <c r="A194" s="2">
        <v>42258</v>
      </c>
      <c r="B194">
        <v>3.4322790877171938E-2</v>
      </c>
      <c r="C194">
        <v>8.0136985625101076E-3</v>
      </c>
      <c r="D194">
        <v>2.1445536116375449E-2</v>
      </c>
      <c r="E194">
        <v>-2.6285516855124369E-2</v>
      </c>
      <c r="F194">
        <v>-1.4347275766849471E-2</v>
      </c>
      <c r="G194">
        <v>2.3837256037261941E-2</v>
      </c>
    </row>
    <row r="195" spans="1:7" x14ac:dyDescent="0.2">
      <c r="A195" s="2">
        <v>42265</v>
      </c>
      <c r="B195">
        <v>2.021111254609043E-2</v>
      </c>
      <c r="C195">
        <v>3.946594790096003E-2</v>
      </c>
      <c r="D195">
        <v>1.3670529848841539E-4</v>
      </c>
      <c r="E195">
        <v>-8.7999468982724594E-4</v>
      </c>
      <c r="F195">
        <v>1.7184739001654851E-2</v>
      </c>
      <c r="G195">
        <v>-1.514862808602135E-3</v>
      </c>
    </row>
    <row r="196" spans="1:7" x14ac:dyDescent="0.2">
      <c r="A196" s="2">
        <v>42272</v>
      </c>
      <c r="B196">
        <v>-4.5512104685916377E-3</v>
      </c>
      <c r="C196">
        <v>-1.093599416828295E-3</v>
      </c>
      <c r="D196">
        <v>-6.9049797059178566E-3</v>
      </c>
      <c r="E196">
        <v>2.995544642343639E-2</v>
      </c>
      <c r="F196">
        <v>1.642980801335181E-3</v>
      </c>
      <c r="G196">
        <v>6.636000078920512E-3</v>
      </c>
    </row>
    <row r="197" spans="1:7" x14ac:dyDescent="0.2">
      <c r="A197" s="2">
        <v>42279</v>
      </c>
      <c r="B197">
        <v>2.823764646194293E-2</v>
      </c>
      <c r="C197">
        <v>2.8984865080184271E-2</v>
      </c>
      <c r="D197">
        <v>8.3522978406946891E-4</v>
      </c>
      <c r="E197">
        <v>8.5545362308212525E-3</v>
      </c>
      <c r="F197">
        <v>-5.1534716243373246E-3</v>
      </c>
      <c r="G197">
        <v>7.1561888504596549E-3</v>
      </c>
    </row>
    <row r="198" spans="1:7" x14ac:dyDescent="0.2">
      <c r="A198" s="2">
        <v>42286</v>
      </c>
      <c r="B198">
        <v>5.1785230563840212E-2</v>
      </c>
      <c r="C198">
        <v>3.1890858428085263E-2</v>
      </c>
      <c r="D198">
        <v>2.681674523292776E-2</v>
      </c>
      <c r="E198">
        <v>3.6753748882101263E-2</v>
      </c>
      <c r="F198">
        <v>2.120233934485904E-3</v>
      </c>
      <c r="G198">
        <v>2.0576647756171962E-3</v>
      </c>
    </row>
    <row r="199" spans="1:7" x14ac:dyDescent="0.2">
      <c r="A199" s="2">
        <v>42293</v>
      </c>
      <c r="B199">
        <v>-4.5380913456135707E-2</v>
      </c>
      <c r="C199">
        <v>-9.7858813176604498E-3</v>
      </c>
      <c r="D199">
        <v>1.624136006562527E-3</v>
      </c>
      <c r="E199">
        <v>5.1816147951346814E-3</v>
      </c>
      <c r="F199">
        <v>-8.4582360251933553E-3</v>
      </c>
      <c r="G199">
        <v>-1.874418575426029E-4</v>
      </c>
    </row>
    <row r="200" spans="1:7" x14ac:dyDescent="0.2">
      <c r="A200" s="2">
        <v>42300</v>
      </c>
      <c r="B200">
        <v>6.0431713974097967E-2</v>
      </c>
      <c r="C200">
        <v>2.5747795435408841E-2</v>
      </c>
      <c r="D200">
        <v>2.1951461961071891E-2</v>
      </c>
      <c r="E200">
        <v>1.7363273450935249E-2</v>
      </c>
      <c r="F200">
        <v>4.7630145354109921E-2</v>
      </c>
      <c r="G200">
        <v>1.9036422976254741E-2</v>
      </c>
    </row>
    <row r="201" spans="1:7" x14ac:dyDescent="0.2">
      <c r="A201" s="2">
        <v>42307</v>
      </c>
      <c r="B201">
        <v>-1.9036837032380571E-2</v>
      </c>
      <c r="C201">
        <v>-4.0314238285187209E-2</v>
      </c>
      <c r="D201">
        <v>-1.0688058392080979E-3</v>
      </c>
      <c r="E201">
        <v>3.7599844636144741E-2</v>
      </c>
      <c r="F201">
        <v>-1.289300494590606E-2</v>
      </c>
      <c r="G201">
        <v>-1.6850546398427532E-2</v>
      </c>
    </row>
    <row r="202" spans="1:7" x14ac:dyDescent="0.2">
      <c r="A202" s="2">
        <v>42314</v>
      </c>
      <c r="B202">
        <v>-1.5023886836544211E-2</v>
      </c>
      <c r="C202">
        <v>-6.6052449940700031E-3</v>
      </c>
      <c r="D202">
        <v>2.5143609020069849E-2</v>
      </c>
      <c r="E202">
        <v>1.4392800490185211E-2</v>
      </c>
      <c r="F202">
        <v>-4.8808155290580253E-2</v>
      </c>
      <c r="G202">
        <v>-6.1476068739523271E-3</v>
      </c>
    </row>
    <row r="203" spans="1:7" x14ac:dyDescent="0.2">
      <c r="A203" s="2">
        <v>42321</v>
      </c>
      <c r="B203">
        <v>-2.8601801288334339E-2</v>
      </c>
      <c r="C203">
        <v>-2.6590654747342679E-3</v>
      </c>
      <c r="D203">
        <v>-3.5354459391434778E-2</v>
      </c>
      <c r="E203">
        <v>-6.4352487625743193E-2</v>
      </c>
      <c r="F203">
        <v>-3.2763283008569573E-2</v>
      </c>
      <c r="G203">
        <v>-2.661681218713496E-2</v>
      </c>
    </row>
    <row r="204" spans="1:7" x14ac:dyDescent="0.2">
      <c r="A204" s="2">
        <v>42328</v>
      </c>
      <c r="B204">
        <v>5.2473807163332387E-2</v>
      </c>
      <c r="C204">
        <v>2.3386511772641509E-2</v>
      </c>
      <c r="D204">
        <v>2.8805837676016299E-2</v>
      </c>
      <c r="E204">
        <v>-8.9354491396932412E-3</v>
      </c>
      <c r="F204">
        <v>4.0347738883084627E-2</v>
      </c>
      <c r="G204">
        <v>2.9662225102106369E-2</v>
      </c>
    </row>
    <row r="205" spans="1:7" x14ac:dyDescent="0.2">
      <c r="A205" s="2">
        <v>42335</v>
      </c>
      <c r="B205">
        <v>-9.4478198049007256E-3</v>
      </c>
      <c r="C205">
        <v>-3.0527424137004489E-2</v>
      </c>
      <c r="D205">
        <v>-1.078059529205244E-2</v>
      </c>
      <c r="E205">
        <v>-8.7430363841444203E-3</v>
      </c>
      <c r="F205">
        <v>4.7870493191894958E-3</v>
      </c>
      <c r="G205">
        <v>8.4873477860767377E-3</v>
      </c>
    </row>
    <row r="206" spans="1:7" x14ac:dyDescent="0.2">
      <c r="A206" s="2">
        <v>42342</v>
      </c>
      <c r="B206">
        <v>-4.4308411380191703E-2</v>
      </c>
      <c r="C206">
        <v>2.2801180764337351E-2</v>
      </c>
      <c r="D206">
        <v>1.7806753130289229E-2</v>
      </c>
      <c r="E206">
        <v>9.1417077996580609E-4</v>
      </c>
      <c r="F206">
        <v>-1.66807401352731E-3</v>
      </c>
      <c r="G206">
        <v>1.271688272346827E-2</v>
      </c>
    </row>
    <row r="207" spans="1:7" x14ac:dyDescent="0.2">
      <c r="A207" s="2">
        <v>42349</v>
      </c>
      <c r="B207">
        <v>-4.4125426490178921E-2</v>
      </c>
      <c r="C207">
        <v>-3.4767076356747251E-2</v>
      </c>
      <c r="D207">
        <v>-4.7004494777419532E-2</v>
      </c>
      <c r="E207">
        <v>-2.2481653115275831E-2</v>
      </c>
      <c r="F207">
        <v>-5.6716153006387771E-2</v>
      </c>
      <c r="G207">
        <v>-3.2318241602619417E-2</v>
      </c>
    </row>
    <row r="208" spans="1:7" x14ac:dyDescent="0.2">
      <c r="A208" s="2">
        <v>42356</v>
      </c>
      <c r="B208">
        <v>7.4236918113878225E-2</v>
      </c>
      <c r="C208">
        <v>3.9044324469805991E-2</v>
      </c>
      <c r="D208">
        <v>1.726300571562667E-2</v>
      </c>
      <c r="E208">
        <v>2.186181144013077E-2</v>
      </c>
      <c r="F208">
        <v>-1.6883895160946349E-2</v>
      </c>
      <c r="G208">
        <v>7.6377941573224639E-4</v>
      </c>
    </row>
    <row r="209" spans="1:7" x14ac:dyDescent="0.2">
      <c r="A209" s="2">
        <v>42363</v>
      </c>
      <c r="B209">
        <v>1.194587861185958E-2</v>
      </c>
      <c r="C209">
        <v>6.0867118973650944E-3</v>
      </c>
      <c r="D209">
        <v>1.871997990724994E-2</v>
      </c>
      <c r="E209">
        <v>2.5006546013722101E-2</v>
      </c>
      <c r="F209">
        <v>1.665388491990227E-2</v>
      </c>
      <c r="G209">
        <v>7.0560120125198189E-3</v>
      </c>
    </row>
    <row r="210" spans="1:7" x14ac:dyDescent="0.2">
      <c r="A210" s="2">
        <v>42370</v>
      </c>
      <c r="B210">
        <v>-1.8151540148857451E-2</v>
      </c>
      <c r="C210">
        <v>-1.6044106926792919E-2</v>
      </c>
      <c r="D210">
        <v>-1.9698628007494331E-2</v>
      </c>
      <c r="E210">
        <v>-3.1716143678185871E-2</v>
      </c>
      <c r="F210">
        <v>-2.0731984538653551E-2</v>
      </c>
      <c r="G210">
        <v>-7.5745987777325876E-3</v>
      </c>
    </row>
    <row r="211" spans="1:7" x14ac:dyDescent="0.2">
      <c r="A211" s="2">
        <v>42377</v>
      </c>
      <c r="B211">
        <v>-6.1150457676899077E-2</v>
      </c>
      <c r="C211">
        <v>-4.8120873605227432E-3</v>
      </c>
      <c r="D211">
        <v>-5.502352940085653E-2</v>
      </c>
      <c r="E211">
        <v>-6.9149158255976451E-2</v>
      </c>
      <c r="F211">
        <v>-2.1955348849454711E-2</v>
      </c>
      <c r="G211">
        <v>-4.0259266919377312E-2</v>
      </c>
    </row>
    <row r="212" spans="1:7" x14ac:dyDescent="0.2">
      <c r="A212" s="2">
        <v>42384</v>
      </c>
      <c r="B212">
        <v>-2.753639847221101E-3</v>
      </c>
      <c r="C212">
        <v>-1.9070168078737959E-2</v>
      </c>
      <c r="D212">
        <v>-4.3099863245293468E-2</v>
      </c>
      <c r="E212">
        <v>-6.1052662504070931E-2</v>
      </c>
      <c r="F212">
        <v>-2.8594719754978511E-2</v>
      </c>
      <c r="G212">
        <v>1.5904699700389768E-2</v>
      </c>
    </row>
    <row r="213" spans="1:7" x14ac:dyDescent="0.2">
      <c r="A213" s="2">
        <v>42391</v>
      </c>
      <c r="B213">
        <v>-2.7064758485745851E-2</v>
      </c>
      <c r="C213">
        <v>5.3942886818211022E-2</v>
      </c>
      <c r="D213">
        <v>4.593505388715502E-2</v>
      </c>
      <c r="E213">
        <v>3.5229981674023141E-3</v>
      </c>
      <c r="F213">
        <v>3.246201911879365E-2</v>
      </c>
      <c r="G213">
        <v>1.154606665292701E-2</v>
      </c>
    </row>
    <row r="214" spans="1:7" x14ac:dyDescent="0.2">
      <c r="A214" s="2">
        <v>42398</v>
      </c>
      <c r="B214">
        <v>6.3013373786327875E-2</v>
      </c>
      <c r="C214">
        <v>5.7677248020107319E-2</v>
      </c>
      <c r="D214">
        <v>4.6293853612384687E-2</v>
      </c>
      <c r="E214">
        <v>5.9049854043411447E-2</v>
      </c>
      <c r="F214">
        <v>3.8369204773833543E-2</v>
      </c>
      <c r="G214">
        <v>1.373565590869052E-2</v>
      </c>
    </row>
    <row r="215" spans="1:7" x14ac:dyDescent="0.2">
      <c r="A215" s="2">
        <v>42405</v>
      </c>
      <c r="B215">
        <v>-9.0784412872919606E-3</v>
      </c>
      <c r="C215">
        <v>1.8668261566480829E-2</v>
      </c>
      <c r="D215">
        <v>-1.9434567412794031E-2</v>
      </c>
      <c r="E215">
        <v>-3.9179158089506672E-2</v>
      </c>
      <c r="F215">
        <v>3.7979208558808868E-2</v>
      </c>
      <c r="G215">
        <v>-3.0152793801941021E-2</v>
      </c>
    </row>
    <row r="216" spans="1:7" x14ac:dyDescent="0.2">
      <c r="A216" s="2">
        <v>42412</v>
      </c>
      <c r="B216">
        <v>3.1257529008089653E-2</v>
      </c>
      <c r="C216">
        <v>-0.1180369553452902</v>
      </c>
      <c r="D216">
        <v>-4.4419997123457788E-2</v>
      </c>
      <c r="E216">
        <v>-4.1090679394449103E-2</v>
      </c>
      <c r="F216">
        <v>-2.4721766553406629E-2</v>
      </c>
      <c r="G216">
        <v>-2.6761190165286001E-2</v>
      </c>
    </row>
    <row r="217" spans="1:7" x14ac:dyDescent="0.2">
      <c r="A217" s="2">
        <v>42419</v>
      </c>
      <c r="B217">
        <v>2.5345789214351599E-2</v>
      </c>
      <c r="C217">
        <v>5.718248480664756E-2</v>
      </c>
      <c r="D217">
        <v>4.8544741267084079E-2</v>
      </c>
      <c r="E217">
        <v>7.4911248908796191E-2</v>
      </c>
      <c r="F217">
        <v>-1.5218890440160671E-3</v>
      </c>
      <c r="G217">
        <v>1.02744205694274E-2</v>
      </c>
    </row>
    <row r="218" spans="1:7" x14ac:dyDescent="0.2">
      <c r="A218" s="2">
        <v>42426</v>
      </c>
      <c r="B218">
        <v>5.9886490918745761E-3</v>
      </c>
      <c r="C218">
        <v>-2.1164655466669902E-2</v>
      </c>
      <c r="D218">
        <v>-4.1946671323119578E-2</v>
      </c>
      <c r="E218">
        <v>9.1343690604217542E-4</v>
      </c>
      <c r="F218">
        <v>-5.8382065352040602E-3</v>
      </c>
      <c r="G218">
        <v>-1.818486724915247E-3</v>
      </c>
    </row>
    <row r="219" spans="1:7" x14ac:dyDescent="0.2">
      <c r="A219" s="2">
        <v>42433</v>
      </c>
      <c r="B219">
        <v>-1.64757747865274E-3</v>
      </c>
      <c r="C219">
        <v>4.805156678164213E-2</v>
      </c>
      <c r="D219">
        <v>4.5248046268971047E-2</v>
      </c>
      <c r="E219">
        <v>3.5061003497596673E-2</v>
      </c>
      <c r="F219">
        <v>7.6623075931947504E-4</v>
      </c>
      <c r="G219">
        <v>-1.052366187411413E-2</v>
      </c>
    </row>
    <row r="220" spans="1:7" x14ac:dyDescent="0.2">
      <c r="A220" s="2">
        <v>42440</v>
      </c>
      <c r="B220">
        <v>1.82090123563079E-2</v>
      </c>
      <c r="C220">
        <v>2.445230847660862E-2</v>
      </c>
      <c r="D220">
        <v>4.020677627904834E-2</v>
      </c>
      <c r="E220">
        <v>2.5777244133538438E-2</v>
      </c>
      <c r="F220">
        <v>5.3464110838026269E-2</v>
      </c>
      <c r="G220">
        <v>2.7203677637661409E-2</v>
      </c>
    </row>
    <row r="221" spans="1:7" x14ac:dyDescent="0.2">
      <c r="A221" s="2">
        <v>42447</v>
      </c>
      <c r="B221">
        <v>1.2769330236555019E-2</v>
      </c>
      <c r="C221">
        <v>-3.0084598413675501E-2</v>
      </c>
      <c r="D221">
        <v>1.3064126679732221E-2</v>
      </c>
      <c r="E221">
        <v>3.9862223962588983E-2</v>
      </c>
      <c r="F221">
        <v>4.895934088331666E-3</v>
      </c>
      <c r="G221">
        <v>1.8519611832997329E-2</v>
      </c>
    </row>
    <row r="222" spans="1:7" x14ac:dyDescent="0.2">
      <c r="A222" s="2">
        <v>42454</v>
      </c>
      <c r="B222">
        <v>-5.4388634547531964E-3</v>
      </c>
      <c r="C222">
        <v>2.2815968281231669E-2</v>
      </c>
      <c r="D222">
        <v>-1.6618632984086279E-2</v>
      </c>
      <c r="E222">
        <v>-3.888708030129751E-3</v>
      </c>
      <c r="F222">
        <v>1.486362435491295E-2</v>
      </c>
      <c r="G222">
        <v>1.916023085077501E-2</v>
      </c>
    </row>
    <row r="223" spans="1:7" x14ac:dyDescent="0.2">
      <c r="A223" s="2">
        <v>42461</v>
      </c>
      <c r="B223">
        <v>8.2040734056796349E-3</v>
      </c>
      <c r="C223">
        <v>2.1804327878878871E-2</v>
      </c>
      <c r="D223">
        <v>1.5276130461727931E-2</v>
      </c>
      <c r="E223">
        <v>4.7401894479970341E-3</v>
      </c>
      <c r="F223">
        <v>1.152479773791115E-2</v>
      </c>
      <c r="G223">
        <v>1.131823771695495E-2</v>
      </c>
    </row>
    <row r="224" spans="1:7" x14ac:dyDescent="0.2">
      <c r="A224" s="2">
        <v>42468</v>
      </c>
      <c r="B224">
        <v>-5.9171357508146496E-3</v>
      </c>
      <c r="C224">
        <v>-2.2320893220061259E-2</v>
      </c>
      <c r="D224">
        <v>-3.8616232784346449E-3</v>
      </c>
      <c r="E224">
        <v>-5.8290318896652149E-3</v>
      </c>
      <c r="F224">
        <v>-1.827581079283469E-2</v>
      </c>
      <c r="G224">
        <v>-1.3846507190375831E-2</v>
      </c>
    </row>
    <row r="225" spans="1:7" x14ac:dyDescent="0.2">
      <c r="A225" s="2">
        <v>42475</v>
      </c>
      <c r="B225">
        <v>6.6960512455958021E-3</v>
      </c>
      <c r="C225">
        <v>-5.5007860100264594E-7</v>
      </c>
      <c r="D225">
        <v>3.6492301088037582E-2</v>
      </c>
      <c r="E225">
        <v>2.7916107173284739E-3</v>
      </c>
      <c r="F225">
        <v>-2.3936490852118571E-2</v>
      </c>
      <c r="G225">
        <v>4.0383063607234426E-3</v>
      </c>
    </row>
    <row r="226" spans="1:7" x14ac:dyDescent="0.2">
      <c r="A226" s="2">
        <v>42482</v>
      </c>
      <c r="B226">
        <v>2.7963192267287829E-2</v>
      </c>
      <c r="C226">
        <v>-2.458663670176919E-2</v>
      </c>
      <c r="D226">
        <v>1.097154644192133E-2</v>
      </c>
      <c r="E226">
        <v>1.0579763188053089E-2</v>
      </c>
      <c r="F226">
        <v>-2.402730143517751E-2</v>
      </c>
      <c r="G226">
        <v>-9.5771720497813684E-3</v>
      </c>
    </row>
    <row r="227" spans="1:7" x14ac:dyDescent="0.2">
      <c r="A227" s="2">
        <v>42489</v>
      </c>
      <c r="B227">
        <v>-7.4176964207944396E-2</v>
      </c>
      <c r="C227">
        <v>2.3662270624967171E-2</v>
      </c>
      <c r="D227">
        <v>4.3828970382080454E-3</v>
      </c>
      <c r="E227">
        <v>1.4601372420145029E-2</v>
      </c>
      <c r="F227">
        <v>9.6453076146316707E-3</v>
      </c>
      <c r="G227">
        <v>-1.160944724001189E-3</v>
      </c>
    </row>
    <row r="228" spans="1:7" x14ac:dyDescent="0.2">
      <c r="A228" s="2">
        <v>42496</v>
      </c>
      <c r="B228">
        <v>-7.8950357192825171E-3</v>
      </c>
      <c r="C228">
        <v>1.733585994010944E-2</v>
      </c>
      <c r="D228">
        <v>-2.348609056316342E-2</v>
      </c>
      <c r="E228">
        <v>-8.1183690700403877E-2</v>
      </c>
      <c r="F228">
        <v>3.7715021804534121E-3</v>
      </c>
      <c r="G228">
        <v>1.452433586121349E-2</v>
      </c>
    </row>
    <row r="229" spans="1:7" x14ac:dyDescent="0.2">
      <c r="A229" s="2">
        <v>42503</v>
      </c>
      <c r="B229">
        <v>-8.0892889540733481E-3</v>
      </c>
      <c r="C229">
        <v>3.4569693973627298E-3</v>
      </c>
      <c r="D229">
        <v>9.5943049584319429E-3</v>
      </c>
      <c r="E229">
        <v>6.7973470235971334E-3</v>
      </c>
      <c r="F229">
        <v>1.5026193065536431E-2</v>
      </c>
      <c r="G229">
        <v>1.469762914657835E-2</v>
      </c>
    </row>
    <row r="230" spans="1:7" x14ac:dyDescent="0.2">
      <c r="A230" s="2">
        <v>42510</v>
      </c>
      <c r="B230">
        <v>5.6557198128606156E-3</v>
      </c>
      <c r="C230">
        <v>3.8274159261917351E-3</v>
      </c>
      <c r="D230">
        <v>1.340756303229829E-2</v>
      </c>
      <c r="E230">
        <v>1.2621282467211611E-2</v>
      </c>
      <c r="F230">
        <v>1.72695767305453E-3</v>
      </c>
      <c r="G230">
        <v>2.6789676195603459E-2</v>
      </c>
    </row>
    <row r="231" spans="1:7" x14ac:dyDescent="0.2">
      <c r="A231" s="2">
        <v>42517</v>
      </c>
      <c r="B231">
        <v>2.301825125409929E-2</v>
      </c>
      <c r="C231">
        <v>1.3610769566864359E-2</v>
      </c>
      <c r="D231">
        <v>3.4682069446640103E-2</v>
      </c>
      <c r="E231">
        <v>4.0579835983595818E-2</v>
      </c>
      <c r="F231">
        <v>2.3891833400686568E-2</v>
      </c>
      <c r="G231">
        <v>1.7920715491988041E-2</v>
      </c>
    </row>
    <row r="232" spans="1:7" x14ac:dyDescent="0.2">
      <c r="A232" s="2">
        <v>42524</v>
      </c>
      <c r="B232">
        <v>-8.054246603518167E-3</v>
      </c>
      <c r="C232">
        <v>3.9058077664844149E-3</v>
      </c>
      <c r="D232">
        <v>-1.6013735127774379E-2</v>
      </c>
      <c r="E232">
        <v>-2.2338493772777751E-4</v>
      </c>
      <c r="F232">
        <v>1.2026178841586519E-3</v>
      </c>
      <c r="G232">
        <v>-6.3520860148494904E-3</v>
      </c>
    </row>
    <row r="233" spans="1:7" x14ac:dyDescent="0.2">
      <c r="A233" s="2">
        <v>42531</v>
      </c>
      <c r="B233">
        <v>-2.2743547411007699E-2</v>
      </c>
      <c r="C233">
        <v>1.7996105675277759E-2</v>
      </c>
      <c r="D233">
        <v>-8.7054926852377923E-3</v>
      </c>
      <c r="E233">
        <v>-3.4268971884844568E-2</v>
      </c>
      <c r="F233">
        <v>-1.404894597272266E-2</v>
      </c>
      <c r="G233">
        <v>-2.3012605628738188E-2</v>
      </c>
    </row>
    <row r="234" spans="1:7" x14ac:dyDescent="0.2">
      <c r="A234" s="2">
        <v>42538</v>
      </c>
      <c r="B234">
        <v>-4.5063355196417474E-3</v>
      </c>
      <c r="C234">
        <v>-6.2110762949777456E-3</v>
      </c>
      <c r="D234">
        <v>-1.234664903585592E-2</v>
      </c>
      <c r="E234">
        <v>-1.163839508622089E-3</v>
      </c>
      <c r="F234">
        <v>1.971350463888499E-2</v>
      </c>
      <c r="G234">
        <v>-1.289946403042452E-2</v>
      </c>
    </row>
    <row r="235" spans="1:7" x14ac:dyDescent="0.2">
      <c r="A235" s="2">
        <v>42545</v>
      </c>
      <c r="B235">
        <v>-1.3845155027584211E-2</v>
      </c>
      <c r="C235">
        <v>2.3076729501175341E-2</v>
      </c>
      <c r="D235">
        <v>-5.0256429085743237E-3</v>
      </c>
      <c r="E235">
        <v>1.48516769894449E-2</v>
      </c>
      <c r="F235">
        <v>-1.063328330002011E-2</v>
      </c>
      <c r="G235">
        <v>-1.477236547388416E-2</v>
      </c>
    </row>
    <row r="236" spans="1:7" x14ac:dyDescent="0.2">
      <c r="A236" s="2">
        <v>42552</v>
      </c>
      <c r="B236">
        <v>2.9832163604377019E-2</v>
      </c>
      <c r="C236">
        <v>2.6081314220847581E-2</v>
      </c>
      <c r="D236">
        <v>-1.1267457508186141E-2</v>
      </c>
      <c r="E236">
        <v>2.8407064897411741E-2</v>
      </c>
      <c r="F236">
        <v>1.6121356763388221E-2</v>
      </c>
      <c r="G236">
        <v>4.8052867005237143E-3</v>
      </c>
    </row>
    <row r="237" spans="1:7" x14ac:dyDescent="0.2">
      <c r="A237" s="2">
        <v>42559</v>
      </c>
      <c r="B237">
        <v>2.385641428235874E-2</v>
      </c>
      <c r="C237">
        <v>3.20605832809906E-3</v>
      </c>
      <c r="D237">
        <v>1.3230161856962351E-2</v>
      </c>
      <c r="E237">
        <v>1.227703777472056E-2</v>
      </c>
      <c r="F237">
        <v>2.932747559711113E-2</v>
      </c>
      <c r="G237">
        <v>1.913044144960763E-2</v>
      </c>
    </row>
    <row r="238" spans="1:7" x14ac:dyDescent="0.2">
      <c r="A238" s="2">
        <v>42566</v>
      </c>
      <c r="B238">
        <v>3.1622163259492193E-2</v>
      </c>
      <c r="C238">
        <v>-1.1641760836391899E-2</v>
      </c>
      <c r="D238">
        <v>3.5551980589818573E-2</v>
      </c>
      <c r="E238">
        <v>-5.5128302689169129E-3</v>
      </c>
      <c r="F238">
        <v>3.503683092844101E-3</v>
      </c>
      <c r="G238">
        <v>4.1486133649539791E-2</v>
      </c>
    </row>
    <row r="239" spans="1:7" x14ac:dyDescent="0.2">
      <c r="A239" s="2">
        <v>42573</v>
      </c>
      <c r="B239">
        <v>3.3010437877975862E-2</v>
      </c>
      <c r="C239">
        <v>1.685944527604755E-2</v>
      </c>
      <c r="D239">
        <v>3.869193719977515E-3</v>
      </c>
      <c r="E239">
        <v>-2.216970127560391E-3</v>
      </c>
      <c r="F239">
        <v>2.3038743422758579E-2</v>
      </c>
      <c r="G239">
        <v>2.901952681966247E-2</v>
      </c>
    </row>
    <row r="240" spans="1:7" x14ac:dyDescent="0.2">
      <c r="A240" s="2">
        <v>42580</v>
      </c>
      <c r="B240">
        <v>-5.6470940000494796E-3</v>
      </c>
      <c r="C240">
        <v>-1.771537020750635E-2</v>
      </c>
      <c r="D240">
        <v>-1.270516006716127E-4</v>
      </c>
      <c r="E240">
        <v>-2.3889626678576529E-2</v>
      </c>
      <c r="F240">
        <v>-6.1421069670650752E-3</v>
      </c>
      <c r="G240">
        <v>-3.6432910723626422E-2</v>
      </c>
    </row>
    <row r="241" spans="1:7" x14ac:dyDescent="0.2">
      <c r="A241" s="2">
        <v>42587</v>
      </c>
      <c r="B241">
        <v>-1.48604247301426E-2</v>
      </c>
      <c r="C241">
        <v>-6.9413610161017658E-4</v>
      </c>
      <c r="D241">
        <v>-1.6331790244596971E-3</v>
      </c>
      <c r="E241">
        <v>-3.1293098643532251E-3</v>
      </c>
      <c r="F241">
        <v>-5.4929607697997707E-3</v>
      </c>
      <c r="G241">
        <v>-1.2542721811092389E-2</v>
      </c>
    </row>
    <row r="242" spans="1:7" x14ac:dyDescent="0.2">
      <c r="A242" s="2">
        <v>42594</v>
      </c>
      <c r="B242">
        <v>3.188991787962614E-3</v>
      </c>
      <c r="C242">
        <v>-1.3882764303395629E-3</v>
      </c>
      <c r="D242">
        <v>8.6832227390365446E-3</v>
      </c>
      <c r="E242">
        <v>4.0537813476942082E-2</v>
      </c>
      <c r="F242">
        <v>5.293101262440647E-3</v>
      </c>
      <c r="G242">
        <v>3.6819673846189E-4</v>
      </c>
    </row>
    <row r="243" spans="1:7" x14ac:dyDescent="0.2">
      <c r="A243" s="2">
        <v>42601</v>
      </c>
      <c r="B243">
        <v>1.8826230912802441E-2</v>
      </c>
      <c r="C243">
        <v>3.8887875246123031E-3</v>
      </c>
      <c r="D243">
        <v>1.0106371985720839E-2</v>
      </c>
      <c r="E243">
        <v>2.7433263210576708E-3</v>
      </c>
      <c r="F243">
        <v>-1.213342063855838E-2</v>
      </c>
      <c r="G243">
        <v>-7.5329487244950588E-3</v>
      </c>
    </row>
    <row r="244" spans="1:7" x14ac:dyDescent="0.2">
      <c r="A244" s="2">
        <v>42608</v>
      </c>
      <c r="B244">
        <v>1.559799218803337E-2</v>
      </c>
      <c r="C244">
        <v>-1.6995978624714799E-2</v>
      </c>
      <c r="D244">
        <v>7.163886282907983E-3</v>
      </c>
      <c r="E244">
        <v>-1.916158147892477E-3</v>
      </c>
      <c r="F244">
        <v>-1.1590280542372879E-3</v>
      </c>
      <c r="G244">
        <v>7.8514429065599245E-3</v>
      </c>
    </row>
    <row r="245" spans="1:7" x14ac:dyDescent="0.2">
      <c r="A245" s="2">
        <v>42615</v>
      </c>
      <c r="B245">
        <v>5.3166396080250866E-3</v>
      </c>
      <c r="C245">
        <v>-1.0658043092847571E-2</v>
      </c>
      <c r="D245">
        <v>-4.9186155825065025E-4</v>
      </c>
      <c r="E245">
        <v>-1.52532461230982E-2</v>
      </c>
      <c r="F245">
        <v>1.9025232298690131E-2</v>
      </c>
      <c r="G245">
        <v>2.1146359960955818E-2</v>
      </c>
    </row>
    <row r="246" spans="1:7" x14ac:dyDescent="0.2">
      <c r="A246" s="2">
        <v>42622</v>
      </c>
      <c r="B246">
        <v>-4.2162605302662803E-2</v>
      </c>
      <c r="C246">
        <v>-2.0111384089920411E-2</v>
      </c>
      <c r="D246">
        <v>-9.569877488805445E-3</v>
      </c>
      <c r="E246">
        <v>-1.6279518444300981E-2</v>
      </c>
      <c r="F246">
        <v>-3.2769513395765171E-2</v>
      </c>
      <c r="G246">
        <v>-3.6512651840433397E-2</v>
      </c>
    </row>
    <row r="247" spans="1:7" x14ac:dyDescent="0.2">
      <c r="A247" s="2">
        <v>42629</v>
      </c>
      <c r="B247">
        <v>2.501777781279424E-2</v>
      </c>
      <c r="C247">
        <v>1.5637045500220381E-2</v>
      </c>
      <c r="D247">
        <v>4.9503788236382462E-4</v>
      </c>
      <c r="E247">
        <v>-2.2824993431869171E-2</v>
      </c>
      <c r="F247">
        <v>-4.353755963526496E-7</v>
      </c>
      <c r="G247">
        <v>3.2994189274554442E-2</v>
      </c>
    </row>
    <row r="248" spans="1:7" x14ac:dyDescent="0.2">
      <c r="A248" s="2">
        <v>42636</v>
      </c>
      <c r="B248">
        <v>1.5510095913319869E-2</v>
      </c>
      <c r="C248">
        <v>1.9485720891602391E-2</v>
      </c>
      <c r="D248">
        <v>7.925140949966325E-3</v>
      </c>
      <c r="E248">
        <v>1.7517603321081991E-2</v>
      </c>
      <c r="F248">
        <v>2.117638911454223E-2</v>
      </c>
      <c r="G248">
        <v>-5.6577039658382011E-3</v>
      </c>
    </row>
    <row r="249" spans="1:7" x14ac:dyDescent="0.2">
      <c r="A249" s="2">
        <v>42643</v>
      </c>
      <c r="B249">
        <v>1.539213591737432E-2</v>
      </c>
      <c r="C249">
        <v>-4.483122353634017E-3</v>
      </c>
      <c r="D249">
        <v>-1.7192213578760549E-3</v>
      </c>
      <c r="E249">
        <v>4.5050805624088808E-2</v>
      </c>
      <c r="F249">
        <v>8.6208553647402208E-3</v>
      </c>
      <c r="G249">
        <v>-4.2211991357681278E-3</v>
      </c>
    </row>
    <row r="250" spans="1:7" x14ac:dyDescent="0.2">
      <c r="A250" s="2">
        <v>42650</v>
      </c>
      <c r="B250">
        <v>2.926783252864951E-2</v>
      </c>
      <c r="C250">
        <v>-3.9345347316958053E-2</v>
      </c>
      <c r="D250">
        <v>7.8765225577623887E-3</v>
      </c>
      <c r="E250">
        <v>1.263043633495742E-2</v>
      </c>
      <c r="F250">
        <v>-2.286976508256278E-2</v>
      </c>
      <c r="G250">
        <v>-8.1098888809461034E-3</v>
      </c>
    </row>
    <row r="251" spans="1:7" x14ac:dyDescent="0.2">
      <c r="A251" s="2">
        <v>42657</v>
      </c>
      <c r="B251">
        <v>-1.2688296607810229E-2</v>
      </c>
      <c r="C251">
        <v>3.5035958957470907E-2</v>
      </c>
      <c r="D251">
        <v>8.6681567646618163E-3</v>
      </c>
      <c r="E251">
        <v>1.35576793175749E-2</v>
      </c>
      <c r="F251">
        <v>9.6938607824752498E-3</v>
      </c>
      <c r="G251">
        <v>-2.7875748524642811E-2</v>
      </c>
    </row>
    <row r="252" spans="1:7" x14ac:dyDescent="0.2">
      <c r="A252" s="2">
        <v>42664</v>
      </c>
      <c r="B252">
        <v>2.9835634723898159E-3</v>
      </c>
      <c r="C252">
        <v>1.9547164113170149E-2</v>
      </c>
      <c r="D252">
        <v>2.2877685182125521E-2</v>
      </c>
      <c r="E252">
        <v>4.8422141680770643E-2</v>
      </c>
      <c r="F252">
        <v>4.9164168693911492E-3</v>
      </c>
      <c r="G252">
        <v>1.2617572179212109E-2</v>
      </c>
    </row>
    <row r="253" spans="1:7" x14ac:dyDescent="0.2">
      <c r="A253" s="2">
        <v>42671</v>
      </c>
      <c r="B253">
        <v>-3.3862931405219572E-2</v>
      </c>
      <c r="C253">
        <v>2.2445152172281491E-2</v>
      </c>
      <c r="D253">
        <v>5.8245300150727708E-4</v>
      </c>
      <c r="E253">
        <v>5.3585439186142107E-2</v>
      </c>
      <c r="F253">
        <v>8.154592563452745E-3</v>
      </c>
      <c r="G253">
        <v>-1.5111485886105671E-3</v>
      </c>
    </row>
    <row r="254" spans="1:7" x14ac:dyDescent="0.2">
      <c r="A254" s="2">
        <v>42678</v>
      </c>
      <c r="B254">
        <v>-1.6577498400169869E-2</v>
      </c>
      <c r="C254">
        <v>-8.6909795421127312E-3</v>
      </c>
      <c r="D254">
        <v>-1.9827654862517471E-2</v>
      </c>
      <c r="E254">
        <v>-5.2312922488204627E-2</v>
      </c>
      <c r="F254">
        <v>-2.0104963442076681E-2</v>
      </c>
      <c r="G254">
        <v>3.6112208361177123E-2</v>
      </c>
    </row>
    <row r="255" spans="1:7" x14ac:dyDescent="0.2">
      <c r="A255" s="2">
        <v>42685</v>
      </c>
      <c r="B255">
        <v>3.1547366637378227E-2</v>
      </c>
      <c r="C255">
        <v>-6.5282375208398191E-2</v>
      </c>
      <c r="D255">
        <v>4.7771081031280138E-2</v>
      </c>
      <c r="E255">
        <v>1.0221501672086131E-2</v>
      </c>
      <c r="F255">
        <v>-1.650979548319809E-2</v>
      </c>
      <c r="G255">
        <v>2.4635467518449691E-2</v>
      </c>
    </row>
    <row r="256" spans="1:7" x14ac:dyDescent="0.2">
      <c r="A256" s="2">
        <v>42692</v>
      </c>
      <c r="B256">
        <v>1.552545152211349E-2</v>
      </c>
      <c r="C256">
        <v>8.0681487804901142E-3</v>
      </c>
      <c r="D256">
        <v>1.500332800131021E-2</v>
      </c>
      <c r="E256">
        <v>5.7677116217367042E-2</v>
      </c>
      <c r="F256">
        <v>3.1178151814241768E-3</v>
      </c>
      <c r="G256">
        <v>2.2910502952579129E-2</v>
      </c>
    </row>
    <row r="257" spans="1:7" x14ac:dyDescent="0.2">
      <c r="A257" s="2">
        <v>42699</v>
      </c>
      <c r="B257">
        <v>3.6780434063999889E-2</v>
      </c>
      <c r="C257">
        <v>3.709736089642091E-3</v>
      </c>
      <c r="D257">
        <v>2.8188928043042519E-2</v>
      </c>
      <c r="E257">
        <v>3.5884296787829228E-3</v>
      </c>
      <c r="F257">
        <v>1.45828908227057E-2</v>
      </c>
      <c r="G257">
        <v>1.8957764024270629E-2</v>
      </c>
    </row>
    <row r="258" spans="1:7" x14ac:dyDescent="0.2">
      <c r="A258" s="2">
        <v>42706</v>
      </c>
      <c r="B258">
        <v>-6.6508452060233259E-3</v>
      </c>
      <c r="C258">
        <v>-1.207183611567886E-2</v>
      </c>
      <c r="D258">
        <v>-2.2290409449392309E-2</v>
      </c>
      <c r="E258">
        <v>2.7412635155487312E-2</v>
      </c>
      <c r="F258">
        <v>-8.247196867121942E-3</v>
      </c>
      <c r="G258">
        <v>-8.9576429621506248E-3</v>
      </c>
    </row>
    <row r="259" spans="1:7" x14ac:dyDescent="0.2">
      <c r="A259" s="2">
        <v>42713</v>
      </c>
      <c r="B259">
        <v>2.6959787008868471E-2</v>
      </c>
      <c r="C259">
        <v>8.4789829944409423E-3</v>
      </c>
      <c r="D259">
        <v>2.9293774052674859E-2</v>
      </c>
      <c r="E259">
        <v>3.5020902061630999E-3</v>
      </c>
      <c r="F259">
        <v>2.1254127897932351E-2</v>
      </c>
      <c r="G259">
        <v>2.5552117273282219E-2</v>
      </c>
    </row>
    <row r="260" spans="1:7" x14ac:dyDescent="0.2">
      <c r="A260" s="2">
        <v>42720</v>
      </c>
      <c r="B260">
        <v>-2.3242501847850709E-2</v>
      </c>
      <c r="C260">
        <v>2.4728864579797172E-3</v>
      </c>
      <c r="D260">
        <v>1.428654961974685E-2</v>
      </c>
      <c r="E260">
        <v>1.9082983435677821E-2</v>
      </c>
      <c r="F260">
        <v>3.5299314062238189E-3</v>
      </c>
      <c r="G260">
        <v>2.8810085731199031E-3</v>
      </c>
    </row>
    <row r="261" spans="1:7" x14ac:dyDescent="0.2">
      <c r="A261" s="2">
        <v>42727</v>
      </c>
      <c r="B261">
        <v>2.245582559395953E-2</v>
      </c>
      <c r="C261">
        <v>2.3680507829471061E-2</v>
      </c>
      <c r="D261">
        <v>9.8252186081748683E-4</v>
      </c>
      <c r="E261">
        <v>1.3016915656821171E-2</v>
      </c>
      <c r="F261">
        <v>2.8136637186983999E-3</v>
      </c>
      <c r="G261">
        <v>4.7320653891078654E-3</v>
      </c>
    </row>
    <row r="262" spans="1:7" x14ac:dyDescent="0.2">
      <c r="A262" s="2">
        <v>42734</v>
      </c>
      <c r="B262">
        <v>-1.267472767710121E-2</v>
      </c>
      <c r="C262">
        <v>-9.6310107266428524E-4</v>
      </c>
      <c r="D262">
        <v>-8.8341671123467469E-3</v>
      </c>
      <c r="E262">
        <v>-1.037070938677442E-2</v>
      </c>
      <c r="F262">
        <v>-4.6763938484695178E-4</v>
      </c>
      <c r="G262">
        <v>-1.160705046707777E-2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zoomScale="125" workbookViewId="0">
      <selection activeCell="B6" sqref="B6"/>
    </sheetView>
  </sheetViews>
  <sheetFormatPr baseColWidth="10" defaultColWidth="8.83203125" defaultRowHeight="15" x14ac:dyDescent="0.2"/>
  <cols>
    <col min="1" max="2" width="18.1640625" customWidth="1"/>
  </cols>
  <sheetData>
    <row r="1" spans="1:2" x14ac:dyDescent="0.2">
      <c r="A1" s="1" t="s">
        <v>7</v>
      </c>
      <c r="B1" s="1" t="s">
        <v>8</v>
      </c>
    </row>
    <row r="2" spans="1:2" x14ac:dyDescent="0.2">
      <c r="A2" t="s">
        <v>9</v>
      </c>
      <c r="B2">
        <v>0.01</v>
      </c>
    </row>
    <row r="3" spans="1:2" x14ac:dyDescent="0.2">
      <c r="A3" t="s">
        <v>10</v>
      </c>
      <c r="B3">
        <v>90</v>
      </c>
    </row>
    <row r="4" spans="1:2" x14ac:dyDescent="0.2">
      <c r="A4" t="s">
        <v>11</v>
      </c>
      <c r="B4">
        <v>365</v>
      </c>
    </row>
    <row r="5" spans="1:2" x14ac:dyDescent="0.2">
      <c r="A5" t="s">
        <v>12</v>
      </c>
      <c r="B5">
        <v>12</v>
      </c>
    </row>
    <row r="6" spans="1:2" x14ac:dyDescent="0.2">
      <c r="A6" t="s">
        <v>13</v>
      </c>
      <c r="B6">
        <f>B2*B3/B4</f>
        <v>2.4657534246575342E-3</v>
      </c>
    </row>
    <row r="7" spans="1:2" x14ac:dyDescent="0.2">
      <c r="A7" t="s">
        <v>14</v>
      </c>
      <c r="B7">
        <f>(1+B6)^(1/B5)-1</f>
        <v>2.0524759729556585E-4</v>
      </c>
    </row>
    <row r="8" spans="1:2" x14ac:dyDescent="0.2">
      <c r="A8" t="s">
        <v>15</v>
      </c>
      <c r="B8">
        <v>52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zoomScale="150" workbookViewId="0">
      <selection activeCell="B6" sqref="B6"/>
    </sheetView>
  </sheetViews>
  <sheetFormatPr baseColWidth="10" defaultColWidth="8.83203125" defaultRowHeight="15" x14ac:dyDescent="0.2"/>
  <cols>
    <col min="2" max="2" width="17.5" customWidth="1"/>
    <col min="3" max="3" width="14.5" customWidth="1"/>
    <col min="4" max="4" width="14.33203125" customWidth="1"/>
  </cols>
  <sheetData>
    <row r="1" spans="1:4" x14ac:dyDescent="0.2">
      <c r="A1" s="1" t="s">
        <v>16</v>
      </c>
      <c r="B1" s="1" t="s">
        <v>17</v>
      </c>
      <c r="C1" s="1" t="s">
        <v>18</v>
      </c>
      <c r="D1" s="1" t="s">
        <v>29</v>
      </c>
    </row>
    <row r="2" spans="1:4" x14ac:dyDescent="0.2">
      <c r="A2" t="s">
        <v>1</v>
      </c>
      <c r="B2">
        <f>AVERAGE(WeeklyReturns!B:B)</f>
        <v>5.6673134193100279E-3</v>
      </c>
      <c r="C2">
        <f>B2-T_Bills!$B$7</f>
        <v>5.462065822014462E-3</v>
      </c>
      <c r="D2">
        <f>_xlfn.STDEV.S(WeeklyReturns!B:B)</f>
        <v>3.9902786065159068E-2</v>
      </c>
    </row>
    <row r="3" spans="1:4" x14ac:dyDescent="0.2">
      <c r="A3" t="s">
        <v>2</v>
      </c>
      <c r="B3">
        <f>AVERAGE(WeeklyReturns!C:C)</f>
        <v>1.7804574529337565E-3</v>
      </c>
      <c r="C3">
        <f>B3-T_Bills!$B$7</f>
        <v>1.5752098556381907E-3</v>
      </c>
      <c r="D3">
        <f>_xlfn.STDEV.S(WeeklyReturns!C:C)</f>
        <v>2.1353393831415109E-2</v>
      </c>
    </row>
    <row r="4" spans="1:4" x14ac:dyDescent="0.2">
      <c r="A4" t="s">
        <v>3</v>
      </c>
      <c r="B4">
        <f>AVERAGE(WeeklyReturns!D:D)</f>
        <v>3.1106397301594287E-3</v>
      </c>
      <c r="C4">
        <f>B4-T_Bills!$B$7</f>
        <v>2.9053921328638628E-3</v>
      </c>
      <c r="D4">
        <f>_xlfn.STDEV.S(WeeklyReturns!D:D)</f>
        <v>1.9967620712815697E-2</v>
      </c>
    </row>
    <row r="5" spans="1:4" x14ac:dyDescent="0.2">
      <c r="A5" t="s">
        <v>4</v>
      </c>
      <c r="B5">
        <f>AVERAGE(WeeklyReturns!E:E)</f>
        <v>2.5854037945516766E-3</v>
      </c>
      <c r="C5">
        <f>B5-T_Bills!$B$7</f>
        <v>2.3801561972561108E-3</v>
      </c>
      <c r="D5">
        <f>_xlfn.STDEV.S(WeeklyReturns!E:E)</f>
        <v>3.3569687455517076E-2</v>
      </c>
    </row>
    <row r="6" spans="1:4" x14ac:dyDescent="0.2">
      <c r="A6" t="s">
        <v>5</v>
      </c>
      <c r="B6">
        <f>AVERAGE(WeeklyReturns!F:F)</f>
        <v>2.4848860964414637E-3</v>
      </c>
      <c r="C6">
        <f>B6-T_Bills!$B$7</f>
        <v>2.2796384991458979E-3</v>
      </c>
      <c r="D6">
        <f>_xlfn.STDEV.S(WeeklyReturns!F:F)</f>
        <v>2.0110786744411639E-2</v>
      </c>
    </row>
    <row r="7" spans="1:4" x14ac:dyDescent="0.2">
      <c r="A7" t="s">
        <v>6</v>
      </c>
      <c r="B7">
        <f>AVERAGE(WeeklyReturns!G:G)</f>
        <v>3.8853578969867105E-3</v>
      </c>
      <c r="C7">
        <f>B7-T_Bills!$B$7</f>
        <v>3.6801102996911446E-3</v>
      </c>
      <c r="D7">
        <f>_xlfn.STDEV.S(WeeklyReturns!G:G)</f>
        <v>2.0686336617584421E-2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zoomScale="120" zoomScaleNormal="120" workbookViewId="0">
      <selection activeCell="H30" sqref="H30"/>
    </sheetView>
  </sheetViews>
  <sheetFormatPr baseColWidth="10" defaultColWidth="8.83203125" defaultRowHeight="15" x14ac:dyDescent="0.2"/>
  <sheetData>
    <row r="1" spans="1:7" x14ac:dyDescent="0.2">
      <c r="A1" s="1" t="s">
        <v>16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1</v>
      </c>
      <c r="B2">
        <f>_xlfn.COVARIANCE.S(WeeklyReturns!B:B,WeeklyReturns!B:B)</f>
        <v>1.5922323357618518E-3</v>
      </c>
      <c r="C2">
        <f>_xlfn.COVARIANCE.S(WeeklyReturns!B:B,WeeklyReturns!C:C)</f>
        <v>1.4921174730499326E-4</v>
      </c>
      <c r="D2">
        <f>_xlfn.COVARIANCE.S(WeeklyReturns!B:B,WeeklyReturns!D:D)</f>
        <v>1.6204359501713065E-4</v>
      </c>
      <c r="E2">
        <f>_xlfn.COVARIANCE.S(WeeklyReturns!B:B,WeeklyReturns!E:E)</f>
        <v>2.5946703304794371E-4</v>
      </c>
      <c r="F2">
        <f>_xlfn.COVARIANCE.S(WeeklyReturns!B:B,WeeklyReturns!F:F)</f>
        <v>9.5574643360759378E-5</v>
      </c>
      <c r="G2">
        <f>_xlfn.COVARIANCE.S(WeeklyReturns!B:B,WeeklyReturns!G:G)</f>
        <v>1.8752967415240401E-4</v>
      </c>
    </row>
    <row r="3" spans="1:7" x14ac:dyDescent="0.2">
      <c r="A3" t="s">
        <v>2</v>
      </c>
      <c r="B3">
        <f>_xlfn.COVARIANCE.S(WeeklyReturns!C:C,WeeklyReturns!B:B)</f>
        <v>1.4921174730499326E-4</v>
      </c>
      <c r="C3">
        <f>_xlfn.COVARIANCE.S(WeeklyReturns!C:C,WeeklyReturns!C:C)</f>
        <v>4.5596742811951688E-4</v>
      </c>
      <c r="D3">
        <f>_xlfn.COVARIANCE.S(WeeklyReturns!C:C,WeeklyReturns!D:D)</f>
        <v>1.3939446413206201E-4</v>
      </c>
      <c r="E3">
        <f>_xlfn.COVARIANCE.S(WeeklyReturns!C:C,WeeklyReturns!E:E)</f>
        <v>1.7808759547878613E-4</v>
      </c>
      <c r="F3">
        <f>_xlfn.COVARIANCE.S(WeeklyReturns!C:C,WeeklyReturns!F:F)</f>
        <v>1.5061255859044091E-4</v>
      </c>
      <c r="G3">
        <f>_xlfn.COVARIANCE.S(WeeklyReturns!C:C,WeeklyReturns!G:G)</f>
        <v>1.1444725193093725E-4</v>
      </c>
    </row>
    <row r="4" spans="1:7" x14ac:dyDescent="0.2">
      <c r="A4" t="s">
        <v>3</v>
      </c>
      <c r="B4">
        <f>_xlfn.COVARIANCE.S(WeeklyReturns!D:D,WeeklyReturns!B:B)</f>
        <v>1.6204359501713065E-4</v>
      </c>
      <c r="C4">
        <f>_xlfn.COVARIANCE.S(WeeklyReturns!D:D,WeeklyReturns!C:C)</f>
        <v>1.3939446413206201E-4</v>
      </c>
      <c r="D4">
        <f>_xlfn.COVARIANCE.S(WeeklyReturns!D:D,WeeklyReturns!D:D)</f>
        <v>3.9870587693086648E-4</v>
      </c>
      <c r="E4">
        <f>_xlfn.COVARIANCE.S(WeeklyReturns!D:D,WeeklyReturns!E:E)</f>
        <v>3.0759523946497473E-4</v>
      </c>
      <c r="F4">
        <f>_xlfn.COVARIANCE.S(WeeklyReturns!D:D,WeeklyReturns!F:F)</f>
        <v>1.0589191652665322E-4</v>
      </c>
      <c r="G4">
        <f>_xlfn.COVARIANCE.S(WeeklyReturns!D:D,WeeklyReturns!G:G)</f>
        <v>1.6358006633740492E-4</v>
      </c>
    </row>
    <row r="5" spans="1:7" x14ac:dyDescent="0.2">
      <c r="A5" t="s">
        <v>4</v>
      </c>
      <c r="B5">
        <f>_xlfn.COVARIANCE.S(WeeklyReturns!E:E,WeeklyReturns!B:B)</f>
        <v>2.5946703304794371E-4</v>
      </c>
      <c r="C5">
        <f>_xlfn.COVARIANCE.S(WeeklyReturns!E:E,WeeklyReturns!C:C)</f>
        <v>1.7808759547878613E-4</v>
      </c>
      <c r="D5">
        <f>_xlfn.COVARIANCE.S(WeeklyReturns!E:E,WeeklyReturns!D:D)</f>
        <v>3.0759523946497473E-4</v>
      </c>
      <c r="E5">
        <f>_xlfn.COVARIANCE.S(WeeklyReturns!E:E,WeeklyReturns!E:E)</f>
        <v>1.1269239158611002E-3</v>
      </c>
      <c r="F5">
        <f>_xlfn.COVARIANCE.S(WeeklyReturns!E:E,WeeklyReturns!F:F)</f>
        <v>1.2433260834624439E-4</v>
      </c>
      <c r="G5">
        <f>_xlfn.COVARIANCE.S(WeeklyReturns!E:E,WeeklyReturns!G:G)</f>
        <v>2.282706055662598E-4</v>
      </c>
    </row>
    <row r="6" spans="1:7" x14ac:dyDescent="0.2">
      <c r="A6" t="s">
        <v>5</v>
      </c>
      <c r="B6">
        <f>_xlfn.COVARIANCE.S(WeeklyReturns!F:F,WeeklyReturns!B:B)</f>
        <v>9.5574643360759378E-5</v>
      </c>
      <c r="C6">
        <f>_xlfn.COVARIANCE.S(WeeklyReturns!F:F,WeeklyReturns!C:C)</f>
        <v>1.5061255859044091E-4</v>
      </c>
      <c r="D6">
        <f>_xlfn.COVARIANCE.S(WeeklyReturns!F:F,WeeklyReturns!D:D)</f>
        <v>1.0589191652665322E-4</v>
      </c>
      <c r="E6">
        <f>_xlfn.COVARIANCE.S(WeeklyReturns!F:F,WeeklyReturns!E:E)</f>
        <v>1.2433260834624439E-4</v>
      </c>
      <c r="F6">
        <f>_xlfn.COVARIANCE.S(WeeklyReturns!F:F,WeeklyReturns!F:F)</f>
        <v>4.0444374347920283E-4</v>
      </c>
      <c r="G6">
        <f>_xlfn.COVARIANCE.S(WeeklyReturns!F:F,WeeklyReturns!G:G)</f>
        <v>1.1483820499234615E-4</v>
      </c>
    </row>
    <row r="7" spans="1:7" x14ac:dyDescent="0.2">
      <c r="A7" t="s">
        <v>6</v>
      </c>
      <c r="B7">
        <f>_xlfn.COVARIANCE.S(WeeklyReturns!G:G,WeeklyReturns!B:B)</f>
        <v>1.8752967415240401E-4</v>
      </c>
      <c r="C7">
        <f>_xlfn.COVARIANCE.S(WeeklyReturns!G:G,WeeklyReturns!C:C)</f>
        <v>1.1444725193093725E-4</v>
      </c>
      <c r="D7">
        <f>_xlfn.COVARIANCE.S(WeeklyReturns!G:G,WeeklyReturns!D:D)</f>
        <v>1.6358006633740492E-4</v>
      </c>
      <c r="E7">
        <f>_xlfn.COVARIANCE.S(WeeklyReturns!G:G,WeeklyReturns!E:E)</f>
        <v>2.282706055662598E-4</v>
      </c>
      <c r="F7">
        <f>_xlfn.COVARIANCE.S(WeeklyReturns!G:G,WeeklyReturns!F:F)</f>
        <v>1.1483820499234615E-4</v>
      </c>
      <c r="G7">
        <f>_xlfn.COVARIANCE.S(WeeklyReturns!G:G,WeeklyReturns!G:G)</f>
        <v>4.2792452265601384E-4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workbookViewId="0">
      <selection activeCell="B14" sqref="B14"/>
    </sheetView>
  </sheetViews>
  <sheetFormatPr baseColWidth="10" defaultColWidth="8.83203125" defaultRowHeight="15" x14ac:dyDescent="0.2"/>
  <cols>
    <col min="1" max="8" width="18.33203125" customWidth="1"/>
    <col min="9" max="9" width="26.5" customWidth="1"/>
    <col min="10" max="10" width="18.33203125" customWidth="1"/>
  </cols>
  <sheetData>
    <row r="1" spans="1:4" x14ac:dyDescent="0.2">
      <c r="A1" s="1" t="s">
        <v>16</v>
      </c>
      <c r="B1" s="1" t="s">
        <v>17</v>
      </c>
      <c r="C1" s="1" t="s">
        <v>19</v>
      </c>
      <c r="D1" s="1" t="s">
        <v>78</v>
      </c>
    </row>
    <row r="2" spans="1:4" x14ac:dyDescent="0.2">
      <c r="A2" t="s">
        <v>1</v>
      </c>
      <c r="B2">
        <f>Stats_of_Stocks!B2</f>
        <v>5.6673134193100279E-3</v>
      </c>
      <c r="C2">
        <v>0.17301707648403766</v>
      </c>
      <c r="D2">
        <f>SUM(C2:C7)</f>
        <v>0.9999990000000003</v>
      </c>
    </row>
    <row r="3" spans="1:4" x14ac:dyDescent="0.2">
      <c r="A3" t="s">
        <v>2</v>
      </c>
      <c r="B3">
        <f>Stats_of_Stocks!B3</f>
        <v>1.7804574529337565E-3</v>
      </c>
      <c r="C3">
        <v>-4.5621336429059356E-2</v>
      </c>
    </row>
    <row r="4" spans="1:4" x14ac:dyDescent="0.2">
      <c r="A4" t="s">
        <v>3</v>
      </c>
      <c r="B4">
        <f>Stats_of_Stocks!B4</f>
        <v>3.1106397301594287E-3</v>
      </c>
      <c r="C4">
        <v>0.30105479238768829</v>
      </c>
    </row>
    <row r="5" spans="1:4" x14ac:dyDescent="0.2">
      <c r="A5" t="s">
        <v>4</v>
      </c>
      <c r="B5">
        <f>Stats_of_Stocks!B5</f>
        <v>2.5854037945516766E-3</v>
      </c>
      <c r="C5">
        <v>-7.0838532948832092E-2</v>
      </c>
    </row>
    <row r="6" spans="1:4" x14ac:dyDescent="0.2">
      <c r="A6" t="s">
        <v>5</v>
      </c>
      <c r="B6">
        <f>Stats_of_Stocks!B6</f>
        <v>2.4848860964414637E-3</v>
      </c>
      <c r="C6">
        <v>0.20913832747895983</v>
      </c>
    </row>
    <row r="7" spans="1:4" x14ac:dyDescent="0.2">
      <c r="A7" t="s">
        <v>6</v>
      </c>
      <c r="B7">
        <f>Stats_of_Stocks!B7</f>
        <v>3.8853578969867105E-3</v>
      </c>
      <c r="C7">
        <v>0.43324867302720599</v>
      </c>
    </row>
    <row r="9" spans="1:4" ht="16" x14ac:dyDescent="0.2">
      <c r="A9" s="17" t="s">
        <v>79</v>
      </c>
      <c r="B9" s="17">
        <f>T_Bills!B7</f>
        <v>2.0524759729556585E-4</v>
      </c>
    </row>
    <row r="10" spans="1:4" x14ac:dyDescent="0.2">
      <c r="A10" t="s">
        <v>20</v>
      </c>
    </row>
    <row r="11" spans="1:4" x14ac:dyDescent="0.2">
      <c r="A11" t="s">
        <v>21</v>
      </c>
      <c r="B11">
        <f>SUMPRODUCT(C2:C7,B2:B7)</f>
        <v>3.8556530124302735E-3</v>
      </c>
    </row>
    <row r="12" spans="1:4" x14ac:dyDescent="0.2">
      <c r="A12" t="s">
        <v>22</v>
      </c>
      <c r="B12" cm="1">
        <f t="array" ref="B12">MMULT(TRANSPOSE(C2:C7), MMULT(CoVar!B2:G7, C2:C7))</f>
        <v>2.6753856741412122E-4</v>
      </c>
    </row>
    <row r="13" spans="1:4" x14ac:dyDescent="0.2">
      <c r="A13" t="s">
        <v>23</v>
      </c>
      <c r="B13">
        <f>SQRT(B12)</f>
        <v>1.635660623155431E-2</v>
      </c>
    </row>
    <row r="14" spans="1:4" x14ac:dyDescent="0.2">
      <c r="A14" t="s">
        <v>24</v>
      </c>
      <c r="B14">
        <f>(B11-B9)/B13</f>
        <v>0.22317621170659085</v>
      </c>
    </row>
    <row r="16" spans="1:4" x14ac:dyDescent="0.2">
      <c r="A16" t="s">
        <v>25</v>
      </c>
      <c r="B16">
        <f>(1+B11)^T_Bills!$B$8-1</f>
        <v>0.22153520171987107</v>
      </c>
    </row>
    <row r="17" spans="1:2" x14ac:dyDescent="0.2">
      <c r="A17" t="s">
        <v>26</v>
      </c>
      <c r="B17">
        <f>B13*SQRT(T_Bills!$B$8)</f>
        <v>0.11794916492088575</v>
      </c>
    </row>
    <row r="18" spans="1:2" x14ac:dyDescent="0.2">
      <c r="A18" t="s">
        <v>27</v>
      </c>
      <c r="B18">
        <f>(1+T_Bills!$B$7)^T_Bills!$B$8-1</f>
        <v>1.0728926465761734E-2</v>
      </c>
    </row>
    <row r="19" spans="1:2" x14ac:dyDescent="0.2">
      <c r="A19" t="s">
        <v>28</v>
      </c>
      <c r="B19">
        <f>(B16-B18)/B17</f>
        <v>1.7872638216260994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ED8E4-B4AF-4B3E-88C3-91F2C2CCA367}">
  <dimension ref="A1:B14"/>
  <sheetViews>
    <sheetView zoomScale="169" workbookViewId="0">
      <selection activeCell="A11" sqref="A11"/>
    </sheetView>
  </sheetViews>
  <sheetFormatPr baseColWidth="10" defaultColWidth="8.83203125" defaultRowHeight="15" x14ac:dyDescent="0.2"/>
  <cols>
    <col min="1" max="5" width="18.33203125" customWidth="1"/>
  </cols>
  <sheetData>
    <row r="1" spans="1:2" x14ac:dyDescent="0.2">
      <c r="A1" s="1" t="s">
        <v>16</v>
      </c>
      <c r="B1" s="1" t="s">
        <v>74</v>
      </c>
    </row>
    <row r="2" spans="1:2" x14ac:dyDescent="0.2">
      <c r="A2" t="s">
        <v>1</v>
      </c>
      <c r="B2" s="3">
        <f xml:space="preserve"> ROUND(OptPortfolio!C2,2)</f>
        <v>0.17</v>
      </c>
    </row>
    <row r="3" spans="1:2" x14ac:dyDescent="0.2">
      <c r="A3" t="s">
        <v>2</v>
      </c>
      <c r="B3" s="3">
        <f xml:space="preserve"> ROUND(OptPortfolio!C3,2)</f>
        <v>-0.05</v>
      </c>
    </row>
    <row r="4" spans="1:2" x14ac:dyDescent="0.2">
      <c r="A4" t="s">
        <v>3</v>
      </c>
      <c r="B4" s="3">
        <f xml:space="preserve"> ROUND(OptPortfolio!C4,2)</f>
        <v>0.3</v>
      </c>
    </row>
    <row r="5" spans="1:2" x14ac:dyDescent="0.2">
      <c r="A5" t="s">
        <v>4</v>
      </c>
      <c r="B5" s="3">
        <f xml:space="preserve"> ROUND(OptPortfolio!C5,2)</f>
        <v>-7.0000000000000007E-2</v>
      </c>
    </row>
    <row r="6" spans="1:2" x14ac:dyDescent="0.2">
      <c r="A6" t="s">
        <v>5</v>
      </c>
      <c r="B6" s="3">
        <f xml:space="preserve"> ROUND(OptPortfolio!C6,2)</f>
        <v>0.21</v>
      </c>
    </row>
    <row r="7" spans="1:2" x14ac:dyDescent="0.2">
      <c r="A7" t="s">
        <v>6</v>
      </c>
      <c r="B7" s="3">
        <f xml:space="preserve"> ROUND(OptPortfolio!C7,2)</f>
        <v>0.43</v>
      </c>
    </row>
    <row r="8" spans="1:2" x14ac:dyDescent="0.2">
      <c r="B8" s="3"/>
    </row>
    <row r="9" spans="1:2" x14ac:dyDescent="0.2">
      <c r="A9" t="s">
        <v>75</v>
      </c>
      <c r="B9" s="3" t="s">
        <v>76</v>
      </c>
    </row>
    <row r="10" spans="1:2" x14ac:dyDescent="0.2">
      <c r="A10" t="s">
        <v>21</v>
      </c>
      <c r="B10">
        <f>SUMPRODUCT(B2:B7, Stats_of_Stocks!B2:B7)</f>
        <v>3.8191640380222211E-3</v>
      </c>
    </row>
    <row r="11" spans="1:2" x14ac:dyDescent="0.2">
      <c r="A11" t="s">
        <v>22</v>
      </c>
      <c r="B11">
        <f t="array" ref="B11">MMULT(TRANSPOSE(B2:B7), MMULT(CoVar!B2:G7, B2:B7))</f>
        <v>2.6252773491189374E-4</v>
      </c>
    </row>
    <row r="12" spans="1:2" x14ac:dyDescent="0.2">
      <c r="A12" t="s">
        <v>23</v>
      </c>
      <c r="B12">
        <f>SQRT(B11)</f>
        <v>1.6202707641375675E-2</v>
      </c>
    </row>
    <row r="13" spans="1:2" x14ac:dyDescent="0.2">
      <c r="A13" t="s">
        <v>24</v>
      </c>
      <c r="B13">
        <f>(B10 - T_Bills!$B$7) / B12</f>
        <v>0.22304398256857144</v>
      </c>
    </row>
    <row r="14" spans="1:2" x14ac:dyDescent="0.2">
      <c r="A14" t="s">
        <v>78</v>
      </c>
      <c r="B14" s="3">
        <f>SUM(B2:B7)</f>
        <v>0.99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30255-87B2-443E-A402-C3B71D2F34B3}">
  <dimension ref="A1:D21"/>
  <sheetViews>
    <sheetView zoomScale="179" zoomScaleNormal="145" workbookViewId="0">
      <selection activeCell="D23" sqref="D23"/>
    </sheetView>
  </sheetViews>
  <sheetFormatPr baseColWidth="10" defaultColWidth="8.83203125" defaultRowHeight="15" x14ac:dyDescent="0.2"/>
  <sheetData>
    <row r="1" spans="1:4" x14ac:dyDescent="0.2">
      <c r="A1" t="s">
        <v>77</v>
      </c>
    </row>
    <row r="2" spans="1:4" x14ac:dyDescent="0.2">
      <c r="A2" t="s">
        <v>16</v>
      </c>
      <c r="B2" t="s">
        <v>17</v>
      </c>
      <c r="C2" t="s">
        <v>29</v>
      </c>
      <c r="D2" t="s">
        <v>30</v>
      </c>
    </row>
    <row r="3" spans="1:4" x14ac:dyDescent="0.2">
      <c r="A3" t="s">
        <v>1</v>
      </c>
      <c r="B3">
        <f>Stats_of_Stocks!B2</f>
        <v>5.6673134193100279E-3</v>
      </c>
      <c r="C3">
        <f>Stats_of_Stocks!D2</f>
        <v>3.9902786065159068E-2</v>
      </c>
      <c r="D3" t="s">
        <v>32</v>
      </c>
    </row>
    <row r="4" spans="1:4" x14ac:dyDescent="0.2">
      <c r="A4" t="s">
        <v>2</v>
      </c>
      <c r="B4">
        <f>Stats_of_Stocks!B3</f>
        <v>1.7804574529337565E-3</v>
      </c>
      <c r="C4">
        <f>Stats_of_Stocks!D3</f>
        <v>2.1353393831415109E-2</v>
      </c>
      <c r="D4" t="s">
        <v>32</v>
      </c>
    </row>
    <row r="5" spans="1:4" x14ac:dyDescent="0.2">
      <c r="A5" t="s">
        <v>3</v>
      </c>
      <c r="B5">
        <f>Stats_of_Stocks!B4</f>
        <v>3.1106397301594287E-3</v>
      </c>
      <c r="C5">
        <f>Stats_of_Stocks!D4</f>
        <v>1.9967620712815697E-2</v>
      </c>
      <c r="D5" t="s">
        <v>32</v>
      </c>
    </row>
    <row r="6" spans="1:4" x14ac:dyDescent="0.2">
      <c r="A6" t="s">
        <v>4</v>
      </c>
      <c r="B6">
        <f>Stats_of_Stocks!B5</f>
        <v>2.5854037945516766E-3</v>
      </c>
      <c r="C6">
        <f>Stats_of_Stocks!D5</f>
        <v>3.3569687455517076E-2</v>
      </c>
      <c r="D6" t="s">
        <v>32</v>
      </c>
    </row>
    <row r="7" spans="1:4" x14ac:dyDescent="0.2">
      <c r="A7" t="s">
        <v>5</v>
      </c>
      <c r="B7">
        <f>Stats_of_Stocks!B6</f>
        <v>2.4848860964414637E-3</v>
      </c>
      <c r="C7">
        <f>Stats_of_Stocks!D6</f>
        <v>2.0110786744411639E-2</v>
      </c>
      <c r="D7" t="s">
        <v>32</v>
      </c>
    </row>
    <row r="8" spans="1:4" x14ac:dyDescent="0.2">
      <c r="A8" t="s">
        <v>6</v>
      </c>
      <c r="B8">
        <f>Stats_of_Stocks!B7</f>
        <v>3.8853578969867105E-3</v>
      </c>
      <c r="C8">
        <f>Stats_of_Stocks!D7</f>
        <v>2.0686336617584421E-2</v>
      </c>
      <c r="D8" t="s">
        <v>32</v>
      </c>
    </row>
    <row r="9" spans="1:4" x14ac:dyDescent="0.2">
      <c r="A9" t="s">
        <v>31</v>
      </c>
      <c r="B9">
        <f>OptPortfolio!B11</f>
        <v>3.8556530124302735E-3</v>
      </c>
      <c r="C9">
        <f>OptPortfolio!B13</f>
        <v>1.635660623155431E-2</v>
      </c>
      <c r="D9" t="s">
        <v>31</v>
      </c>
    </row>
    <row r="18" spans="1:1" x14ac:dyDescent="0.2">
      <c r="A18" t="s">
        <v>33</v>
      </c>
    </row>
    <row r="19" spans="1:1" x14ac:dyDescent="0.2">
      <c r="A19" t="s">
        <v>34</v>
      </c>
    </row>
    <row r="20" spans="1:1" x14ac:dyDescent="0.2">
      <c r="A20" t="s">
        <v>35</v>
      </c>
    </row>
    <row r="21" spans="1:1" x14ac:dyDescent="0.2">
      <c r="A21" t="s">
        <v>36</v>
      </c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5A8B-72DA-7243-9018-DDD7ADD900AA}">
  <dimension ref="A1:B15"/>
  <sheetViews>
    <sheetView zoomScale="111" zoomScaleNormal="111" workbookViewId="0">
      <selection activeCell="B12" sqref="B12"/>
    </sheetView>
  </sheetViews>
  <sheetFormatPr baseColWidth="10" defaultRowHeight="15" x14ac:dyDescent="0.2"/>
  <cols>
    <col min="1" max="1" width="31.5" customWidth="1"/>
    <col min="2" max="2" width="36.1640625" customWidth="1"/>
  </cols>
  <sheetData>
    <row r="1" spans="1:2" x14ac:dyDescent="0.2">
      <c r="A1" t="s">
        <v>43</v>
      </c>
    </row>
    <row r="2" spans="1:2" x14ac:dyDescent="0.2">
      <c r="A2" s="1" t="s">
        <v>16</v>
      </c>
      <c r="B2" s="1" t="s">
        <v>74</v>
      </c>
    </row>
    <row r="3" spans="1:2" x14ac:dyDescent="0.2">
      <c r="A3" t="s">
        <v>1</v>
      </c>
      <c r="B3" s="3">
        <v>3.8765973905659286E-2</v>
      </c>
    </row>
    <row r="4" spans="1:2" x14ac:dyDescent="0.2">
      <c r="A4" t="s">
        <v>2</v>
      </c>
      <c r="B4" s="3">
        <v>0.20254435098381099</v>
      </c>
    </row>
    <row r="5" spans="1:2" x14ac:dyDescent="0.2">
      <c r="A5" t="s">
        <v>3</v>
      </c>
      <c r="B5" s="3">
        <v>0.25582964541707132</v>
      </c>
    </row>
    <row r="6" spans="1:2" x14ac:dyDescent="0.2">
      <c r="A6" t="s">
        <v>4</v>
      </c>
      <c r="B6" s="3">
        <v>-1.03051897472323E-2</v>
      </c>
    </row>
    <row r="7" spans="1:2" x14ac:dyDescent="0.2">
      <c r="A7" t="s">
        <v>5</v>
      </c>
      <c r="B7" s="3">
        <v>0.28305946378770541</v>
      </c>
    </row>
    <row r="8" spans="1:2" x14ac:dyDescent="0.2">
      <c r="A8" t="s">
        <v>6</v>
      </c>
      <c r="B8" s="3">
        <v>0.23010575565298508</v>
      </c>
    </row>
    <row r="9" spans="1:2" x14ac:dyDescent="0.2">
      <c r="B9" s="3"/>
    </row>
    <row r="10" spans="1:2" x14ac:dyDescent="0.2">
      <c r="A10" t="s">
        <v>75</v>
      </c>
      <c r="B10" t="s">
        <v>76</v>
      </c>
    </row>
    <row r="11" spans="1:2" x14ac:dyDescent="0.2">
      <c r="A11" t="s">
        <v>38</v>
      </c>
      <c r="B11">
        <f>SUMPRODUCT(B3:B8, Stats_of_Stocks!B2:B7)</f>
        <v>2.946885046798459E-3</v>
      </c>
    </row>
    <row r="12" spans="1:2" x14ac:dyDescent="0.2">
      <c r="A12" t="s">
        <v>39</v>
      </c>
      <c r="B12" cm="1">
        <f t="array" ref="B12">MMULT(TRANSPOSE(B3:B8), MMULT(CoVar!B2:G7, B3:B8))</f>
        <v>2.0093506120794267E-4</v>
      </c>
    </row>
    <row r="13" spans="1:2" x14ac:dyDescent="0.2">
      <c r="A13" t="s">
        <v>40</v>
      </c>
      <c r="B13">
        <f>SQRT(B12)</f>
        <v>1.4175156479134284E-2</v>
      </c>
    </row>
    <row r="14" spans="1:2" x14ac:dyDescent="0.2">
      <c r="A14" t="s">
        <v>42</v>
      </c>
      <c r="B14">
        <f>(B11 - T_Bills!$B$7) /B13</f>
        <v>0.19341144159773907</v>
      </c>
    </row>
    <row r="15" spans="1:2" x14ac:dyDescent="0.2">
      <c r="A15" t="s">
        <v>41</v>
      </c>
      <c r="B15" s="3">
        <f>SUM(B3:B8)</f>
        <v>0.99999999999999978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45E5A-BE16-AD46-B8F3-35B3529B68A3}">
  <dimension ref="A1:M19"/>
  <sheetViews>
    <sheetView tabSelected="1" zoomScale="150" zoomScaleNormal="75" workbookViewId="0">
      <selection activeCell="B2" sqref="B2:C9"/>
    </sheetView>
  </sheetViews>
  <sheetFormatPr baseColWidth="10" defaultColWidth="8.83203125" defaultRowHeight="15" x14ac:dyDescent="0.2"/>
  <sheetData>
    <row r="1" spans="1:4" x14ac:dyDescent="0.2">
      <c r="A1" t="s">
        <v>45</v>
      </c>
      <c r="B1" t="s">
        <v>17</v>
      </c>
      <c r="C1" t="s">
        <v>29</v>
      </c>
      <c r="D1" t="s">
        <v>30</v>
      </c>
    </row>
    <row r="2" spans="1:4" x14ac:dyDescent="0.2">
      <c r="A2" t="s">
        <v>1</v>
      </c>
      <c r="B2">
        <f>Stats_of_Stocks!B2</f>
        <v>5.6673134193100279E-3</v>
      </c>
      <c r="C2">
        <f>Stats_of_Stocks!D2</f>
        <v>3.9902786065159068E-2</v>
      </c>
      <c r="D2" t="s">
        <v>32</v>
      </c>
    </row>
    <row r="3" spans="1:4" x14ac:dyDescent="0.2">
      <c r="A3" t="s">
        <v>2</v>
      </c>
      <c r="B3">
        <f>Stats_of_Stocks!B3</f>
        <v>1.7804574529337565E-3</v>
      </c>
      <c r="C3">
        <f>Stats_of_Stocks!D3</f>
        <v>2.1353393831415109E-2</v>
      </c>
      <c r="D3" t="s">
        <v>32</v>
      </c>
    </row>
    <row r="4" spans="1:4" x14ac:dyDescent="0.2">
      <c r="A4" t="s">
        <v>3</v>
      </c>
      <c r="B4">
        <f>Stats_of_Stocks!B4</f>
        <v>3.1106397301594287E-3</v>
      </c>
      <c r="C4">
        <f>Stats_of_Stocks!D4</f>
        <v>1.9967620712815697E-2</v>
      </c>
      <c r="D4" t="s">
        <v>32</v>
      </c>
    </row>
    <row r="5" spans="1:4" x14ac:dyDescent="0.2">
      <c r="A5" t="s">
        <v>4</v>
      </c>
      <c r="B5">
        <f>Stats_of_Stocks!B5</f>
        <v>2.5854037945516766E-3</v>
      </c>
      <c r="C5">
        <f>Stats_of_Stocks!D5</f>
        <v>3.3569687455517076E-2</v>
      </c>
      <c r="D5" t="s">
        <v>32</v>
      </c>
    </row>
    <row r="6" spans="1:4" x14ac:dyDescent="0.2">
      <c r="A6" t="s">
        <v>5</v>
      </c>
      <c r="B6">
        <f>Stats_of_Stocks!B6</f>
        <v>2.4848860964414637E-3</v>
      </c>
      <c r="C6">
        <f>Stats_of_Stocks!D6</f>
        <v>2.0110786744411639E-2</v>
      </c>
      <c r="D6" t="s">
        <v>32</v>
      </c>
    </row>
    <row r="7" spans="1:4" x14ac:dyDescent="0.2">
      <c r="A7" t="s">
        <v>6</v>
      </c>
      <c r="B7">
        <f>Stats_of_Stocks!B7</f>
        <v>3.8853578969867105E-3</v>
      </c>
      <c r="C7">
        <f>Stats_of_Stocks!D7</f>
        <v>2.0686336617584421E-2</v>
      </c>
      <c r="D7" t="s">
        <v>32</v>
      </c>
    </row>
    <row r="8" spans="1:4" x14ac:dyDescent="0.2">
      <c r="A8" t="s">
        <v>31</v>
      </c>
      <c r="B8">
        <f>OptPortfolio!B11</f>
        <v>3.8556530124302735E-3</v>
      </c>
      <c r="C8">
        <f>OptPortfolio!B13</f>
        <v>1.635660623155431E-2</v>
      </c>
      <c r="D8" t="s">
        <v>31</v>
      </c>
    </row>
    <row r="9" spans="1:4" x14ac:dyDescent="0.2">
      <c r="A9" t="s">
        <v>43</v>
      </c>
      <c r="B9">
        <v>2.946885046798459E-3</v>
      </c>
      <c r="C9">
        <v>1.4175156479134284E-2</v>
      </c>
      <c r="D9" t="s">
        <v>44</v>
      </c>
    </row>
    <row r="17" spans="1:13" x14ac:dyDescent="0.2">
      <c r="A17" s="4"/>
    </row>
    <row r="18" spans="1:13" ht="90" customHeight="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1:13" ht="81" customHeight="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</sheetData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AA7E4-7A61-644A-BCDF-E47E2782CC26}">
  <dimension ref="A1:B14"/>
  <sheetViews>
    <sheetView zoomScale="174" workbookViewId="0">
      <selection activeCell="G15" sqref="G15"/>
    </sheetView>
  </sheetViews>
  <sheetFormatPr baseColWidth="10" defaultRowHeight="15" x14ac:dyDescent="0.2"/>
  <cols>
    <col min="1" max="2" width="25" customWidth="1"/>
  </cols>
  <sheetData>
    <row r="1" spans="1:2" x14ac:dyDescent="0.2">
      <c r="A1" s="1" t="s">
        <v>16</v>
      </c>
      <c r="B1" s="1" t="s">
        <v>74</v>
      </c>
    </row>
    <row r="2" spans="1:2" x14ac:dyDescent="0.2">
      <c r="A2" t="s">
        <v>1</v>
      </c>
      <c r="B2" s="3">
        <v>0.16356534062562109</v>
      </c>
    </row>
    <row r="3" spans="1:2" x14ac:dyDescent="0.2">
      <c r="A3" t="s">
        <v>2</v>
      </c>
      <c r="B3" s="3">
        <v>0</v>
      </c>
    </row>
    <row r="4" spans="1:2" x14ac:dyDescent="0.2">
      <c r="A4" t="s">
        <v>3</v>
      </c>
      <c r="B4" s="3">
        <v>0.24246822140896121</v>
      </c>
    </row>
    <row r="5" spans="1:2" x14ac:dyDescent="0.2">
      <c r="A5" t="s">
        <v>4</v>
      </c>
      <c r="B5" s="3">
        <v>0</v>
      </c>
    </row>
    <row r="6" spans="1:2" x14ac:dyDescent="0.2">
      <c r="A6" t="s">
        <v>5</v>
      </c>
      <c r="B6" s="3">
        <v>0.18922388188763045</v>
      </c>
    </row>
    <row r="7" spans="1:2" x14ac:dyDescent="0.2">
      <c r="A7" t="s">
        <v>6</v>
      </c>
      <c r="B7" s="3">
        <v>0.40474255610652232</v>
      </c>
    </row>
    <row r="8" spans="1:2" x14ac:dyDescent="0.2">
      <c r="B8" s="3"/>
    </row>
    <row r="9" spans="1:2" x14ac:dyDescent="0.2">
      <c r="A9" s="13" t="s">
        <v>75</v>
      </c>
      <c r="B9" s="14" t="s">
        <v>76</v>
      </c>
    </row>
    <row r="10" spans="1:2" x14ac:dyDescent="0.2">
      <c r="A10" t="s">
        <v>21</v>
      </c>
      <c r="B10">
        <f>SUMPRODUCT(B2:B7, Stats_of_Stocks!B2:B7)</f>
        <v>3.7239768125097235E-3</v>
      </c>
    </row>
    <row r="11" spans="1:2" x14ac:dyDescent="0.2">
      <c r="A11" t="s">
        <v>22</v>
      </c>
      <c r="B11">
        <f t="array" ref="B11">MMULT(TRANSPOSE(B2:B7), MMULT(CoVar!B2:G7, B2:B7))</f>
        <v>2.5363322147848368E-4</v>
      </c>
    </row>
    <row r="12" spans="1:2" x14ac:dyDescent="0.2">
      <c r="A12" t="s">
        <v>23</v>
      </c>
      <c r="B12">
        <f>SQRT(B11)</f>
        <v>1.5925866427873987E-2</v>
      </c>
    </row>
    <row r="13" spans="1:2" x14ac:dyDescent="0.2">
      <c r="A13" t="s">
        <v>24</v>
      </c>
      <c r="B13">
        <f>(B10 - T_Bills!$B$7) / B12</f>
        <v>0.22094428778176611</v>
      </c>
    </row>
    <row r="14" spans="1:2" x14ac:dyDescent="0.2">
      <c r="B14" s="3">
        <f>SUM(B2:B7)</f>
        <v>1.000000000028735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0C8B2-7AD6-284C-AEA0-F346A4294A36}">
  <dimension ref="A1:D10"/>
  <sheetViews>
    <sheetView topLeftCell="B1" zoomScale="155" zoomScaleNormal="155" workbookViewId="0">
      <selection activeCell="I3" sqref="I3"/>
    </sheetView>
  </sheetViews>
  <sheetFormatPr baseColWidth="10" defaultRowHeight="15" x14ac:dyDescent="0.2"/>
  <sheetData>
    <row r="1" spans="1:4" x14ac:dyDescent="0.2">
      <c r="A1" t="s">
        <v>45</v>
      </c>
      <c r="B1" t="s">
        <v>17</v>
      </c>
      <c r="C1" t="s">
        <v>29</v>
      </c>
      <c r="D1" t="s">
        <v>30</v>
      </c>
    </row>
    <row r="2" spans="1:4" x14ac:dyDescent="0.2">
      <c r="A2" t="s">
        <v>1</v>
      </c>
      <c r="B2">
        <f>Stats_of_Stocks!B2</f>
        <v>5.6673134193100279E-3</v>
      </c>
      <c r="C2">
        <f>Stats_of_Stocks!D2</f>
        <v>3.9902786065159068E-2</v>
      </c>
      <c r="D2" t="s">
        <v>32</v>
      </c>
    </row>
    <row r="3" spans="1:4" x14ac:dyDescent="0.2">
      <c r="A3" t="s">
        <v>2</v>
      </c>
      <c r="B3">
        <f>Stats_of_Stocks!B3</f>
        <v>1.7804574529337565E-3</v>
      </c>
      <c r="C3">
        <f>Stats_of_Stocks!D3</f>
        <v>2.1353393831415109E-2</v>
      </c>
      <c r="D3" t="s">
        <v>32</v>
      </c>
    </row>
    <row r="4" spans="1:4" x14ac:dyDescent="0.2">
      <c r="A4" t="s">
        <v>3</v>
      </c>
      <c r="B4">
        <f>Stats_of_Stocks!B4</f>
        <v>3.1106397301594287E-3</v>
      </c>
      <c r="C4">
        <f>Stats_of_Stocks!D4</f>
        <v>1.9967620712815697E-2</v>
      </c>
      <c r="D4" t="s">
        <v>32</v>
      </c>
    </row>
    <row r="5" spans="1:4" x14ac:dyDescent="0.2">
      <c r="A5" t="s">
        <v>4</v>
      </c>
      <c r="B5">
        <f>Stats_of_Stocks!B5</f>
        <v>2.5854037945516766E-3</v>
      </c>
      <c r="C5">
        <f>Stats_of_Stocks!D5</f>
        <v>3.3569687455517076E-2</v>
      </c>
      <c r="D5" t="s">
        <v>32</v>
      </c>
    </row>
    <row r="6" spans="1:4" x14ac:dyDescent="0.2">
      <c r="A6" t="s">
        <v>5</v>
      </c>
      <c r="B6">
        <f>Stats_of_Stocks!B6</f>
        <v>2.4848860964414637E-3</v>
      </c>
      <c r="C6">
        <f>Stats_of_Stocks!D6</f>
        <v>2.0110786744411639E-2</v>
      </c>
      <c r="D6" t="s">
        <v>32</v>
      </c>
    </row>
    <row r="7" spans="1:4" x14ac:dyDescent="0.2">
      <c r="A7" t="s">
        <v>6</v>
      </c>
      <c r="B7">
        <f>Stats_of_Stocks!B7</f>
        <v>3.8853578969867105E-3</v>
      </c>
      <c r="C7">
        <f>Stats_of_Stocks!D7</f>
        <v>2.0686336617584421E-2</v>
      </c>
      <c r="D7" t="s">
        <v>32</v>
      </c>
    </row>
    <row r="8" spans="1:4" x14ac:dyDescent="0.2">
      <c r="A8" t="s">
        <v>80</v>
      </c>
      <c r="B8">
        <f>OptPortfolio!B11</f>
        <v>3.8556530124302735E-3</v>
      </c>
      <c r="C8">
        <f>OptPortfolio!B13</f>
        <v>1.635660623155431E-2</v>
      </c>
      <c r="D8" t="s">
        <v>31</v>
      </c>
    </row>
    <row r="9" spans="1:4" x14ac:dyDescent="0.2">
      <c r="A9" t="s">
        <v>43</v>
      </c>
      <c r="B9">
        <v>2.946885046798459E-3</v>
      </c>
      <c r="C9">
        <v>1.4175156479134284E-2</v>
      </c>
      <c r="D9" t="s">
        <v>44</v>
      </c>
    </row>
    <row r="10" spans="1:4" x14ac:dyDescent="0.2">
      <c r="A10" t="s">
        <v>81</v>
      </c>
      <c r="B10">
        <f>Q6_NoShortSell!B10</f>
        <v>3.7239768125097235E-3</v>
      </c>
      <c r="C10">
        <f>Q6_NoShortSell!B12</f>
        <v>1.5925866427873987E-2</v>
      </c>
      <c r="D10" t="s">
        <v>31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75BD6-963D-D041-A3DD-29D4DAFBBCD4}">
  <dimension ref="A1:F15"/>
  <sheetViews>
    <sheetView zoomScale="175" workbookViewId="0">
      <selection activeCell="F9" sqref="F9"/>
    </sheetView>
  </sheetViews>
  <sheetFormatPr baseColWidth="10" defaultRowHeight="15" x14ac:dyDescent="0.2"/>
  <cols>
    <col min="1" max="2" width="21.33203125" customWidth="1"/>
    <col min="3" max="4" width="20" customWidth="1"/>
    <col min="5" max="5" width="39.6640625" customWidth="1"/>
    <col min="6" max="6" width="21.83203125" customWidth="1"/>
    <col min="8" max="8" width="29.6640625" customWidth="1"/>
  </cols>
  <sheetData>
    <row r="1" spans="1:6" x14ac:dyDescent="0.2">
      <c r="A1" s="6" t="s">
        <v>16</v>
      </c>
      <c r="B1" s="6" t="s">
        <v>74</v>
      </c>
      <c r="C1" s="7" t="s">
        <v>57</v>
      </c>
      <c r="D1" s="7"/>
      <c r="E1" s="8" t="s">
        <v>47</v>
      </c>
      <c r="F1">
        <v>15</v>
      </c>
    </row>
    <row r="2" spans="1:6" x14ac:dyDescent="0.2">
      <c r="A2" t="s">
        <v>1</v>
      </c>
      <c r="B2" s="3">
        <v>0.16356534062562109</v>
      </c>
      <c r="C2" s="16">
        <f>F7*B2</f>
        <v>151279.37875563424</v>
      </c>
      <c r="E2" s="5" t="s">
        <v>49</v>
      </c>
      <c r="F2">
        <v>1000000</v>
      </c>
    </row>
    <row r="3" spans="1:6" x14ac:dyDescent="0.2">
      <c r="A3" t="s">
        <v>2</v>
      </c>
      <c r="B3" s="3">
        <v>0</v>
      </c>
      <c r="C3">
        <f>F7*B3</f>
        <v>0</v>
      </c>
      <c r="E3" t="s">
        <v>50</v>
      </c>
      <c r="F3">
        <f>T_Bills!$B$7</f>
        <v>2.0524759729556585E-4</v>
      </c>
    </row>
    <row r="4" spans="1:6" x14ac:dyDescent="0.2">
      <c r="A4" t="s">
        <v>3</v>
      </c>
      <c r="B4" s="3">
        <v>0.24246822140896121</v>
      </c>
      <c r="C4">
        <f>F7*B4</f>
        <v>224255.58961594306</v>
      </c>
      <c r="E4" t="s">
        <v>52</v>
      </c>
      <c r="F4">
        <f>B8</f>
        <v>3.7239768125097235E-3</v>
      </c>
    </row>
    <row r="5" spans="1:6" x14ac:dyDescent="0.2">
      <c r="A5" t="s">
        <v>4</v>
      </c>
      <c r="B5" s="3">
        <v>0</v>
      </c>
      <c r="C5">
        <f>F7*B5</f>
        <v>0</v>
      </c>
      <c r="E5" t="s">
        <v>54</v>
      </c>
      <c r="F5">
        <f>B10</f>
        <v>1.5925866427873987E-2</v>
      </c>
    </row>
    <row r="6" spans="1:6" x14ac:dyDescent="0.2">
      <c r="A6" t="s">
        <v>5</v>
      </c>
      <c r="B6" s="3">
        <v>0.18922388188763045</v>
      </c>
      <c r="C6">
        <f>F7*B6</f>
        <v>175010.61770299202</v>
      </c>
      <c r="E6" t="s">
        <v>56</v>
      </c>
      <c r="F6" s="15">
        <f>(F4 - F3) / (F1 * F5^2)</f>
        <v>0.92488652043890052</v>
      </c>
    </row>
    <row r="7" spans="1:6" x14ac:dyDescent="0.2">
      <c r="A7" t="s">
        <v>6</v>
      </c>
      <c r="B7" s="3">
        <v>0.40474255610652232</v>
      </c>
      <c r="C7">
        <f>F7*B7</f>
        <v>374340.93439090793</v>
      </c>
      <c r="E7" t="s">
        <v>61</v>
      </c>
      <c r="F7" s="3">
        <f>F6*1000000</f>
        <v>924886.52043890057</v>
      </c>
    </row>
    <row r="8" spans="1:6" x14ac:dyDescent="0.2">
      <c r="A8" t="s">
        <v>21</v>
      </c>
      <c r="B8">
        <f>SUMPRODUCT(B2:B7, Stats_of_Stocks!B2:B7)</f>
        <v>3.7239768125097235E-3</v>
      </c>
      <c r="E8" t="s">
        <v>59</v>
      </c>
      <c r="F8">
        <f>(1-F6)*1000000</f>
        <v>75113.479561099477</v>
      </c>
    </row>
    <row r="9" spans="1:6" x14ac:dyDescent="0.2">
      <c r="A9" t="s">
        <v>22</v>
      </c>
      <c r="B9">
        <f t="array" ref="B9">MMULT(TRANSPOSE(B2:B7), MMULT(CoVar!B2:G7, B2:B7))</f>
        <v>2.5363322147848368E-4</v>
      </c>
      <c r="E9" t="s">
        <v>63</v>
      </c>
      <c r="F9">
        <f>F6*F4+(1-F6)*F3</f>
        <v>3.4596728175216914E-3</v>
      </c>
    </row>
    <row r="10" spans="1:6" x14ac:dyDescent="0.2">
      <c r="A10" t="s">
        <v>23</v>
      </c>
      <c r="B10">
        <f>SQRT(B9)</f>
        <v>1.5925866427873987E-2</v>
      </c>
      <c r="E10" t="s">
        <v>65</v>
      </c>
      <c r="F10">
        <f>F6*F5</f>
        <v>1.4729619185451074E-2</v>
      </c>
    </row>
    <row r="11" spans="1:6" x14ac:dyDescent="0.2">
      <c r="A11" t="s">
        <v>24</v>
      </c>
      <c r="B11">
        <f>(B8 - T_Bills!$B$7) / B10</f>
        <v>0.22094428778176611</v>
      </c>
      <c r="E11" t="s">
        <v>67</v>
      </c>
      <c r="F11">
        <f>F9-(F1/2)*(F10^2)</f>
        <v>1.8324602074086286E-3</v>
      </c>
    </row>
    <row r="12" spans="1:6" x14ac:dyDescent="0.2">
      <c r="B12" s="3">
        <f>SUM(B2:B7)</f>
        <v>1.000000000028735</v>
      </c>
      <c r="F12" s="3"/>
    </row>
    <row r="15" spans="1:6" ht="17" customHeight="1" x14ac:dyDescent="0.2">
      <c r="A15" s="11"/>
      <c r="B15" s="12"/>
      <c r="C15" s="12"/>
      <c r="D15" s="12"/>
      <c r="E15" s="12"/>
      <c r="F15" s="12"/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CCB7C-226D-3D40-8D48-866E8B62CFB2}">
  <dimension ref="A1:F15"/>
  <sheetViews>
    <sheetView zoomScale="175" workbookViewId="0">
      <selection activeCell="E14" sqref="E14"/>
    </sheetView>
  </sheetViews>
  <sheetFormatPr baseColWidth="10" defaultRowHeight="15" x14ac:dyDescent="0.2"/>
  <cols>
    <col min="1" max="2" width="21.33203125" customWidth="1"/>
    <col min="3" max="4" width="20" customWidth="1"/>
    <col min="5" max="5" width="39.6640625" customWidth="1"/>
    <col min="6" max="6" width="21.83203125" customWidth="1"/>
    <col min="8" max="8" width="29.6640625" customWidth="1"/>
  </cols>
  <sheetData>
    <row r="1" spans="1:6" x14ac:dyDescent="0.2">
      <c r="A1" s="1" t="s">
        <v>16</v>
      </c>
      <c r="B1" s="1" t="s">
        <v>37</v>
      </c>
      <c r="C1" s="7" t="s">
        <v>57</v>
      </c>
      <c r="D1" s="7"/>
      <c r="E1" s="8" t="s">
        <v>47</v>
      </c>
      <c r="F1">
        <v>15</v>
      </c>
    </row>
    <row r="2" spans="1:6" x14ac:dyDescent="0.2">
      <c r="A2" t="s">
        <v>1</v>
      </c>
      <c r="B2" s="3">
        <v>0.17301727311135923</v>
      </c>
      <c r="C2">
        <f>F7*B2</f>
        <v>157381.02790888457</v>
      </c>
      <c r="E2" s="5" t="s">
        <v>49</v>
      </c>
      <c r="F2">
        <v>1000000</v>
      </c>
    </row>
    <row r="3" spans="1:6" x14ac:dyDescent="0.2">
      <c r="A3" t="s">
        <v>2</v>
      </c>
      <c r="B3" s="3">
        <v>-4.562391622835904E-2</v>
      </c>
      <c r="C3">
        <f>F7*B3</f>
        <v>-41500.705126860368</v>
      </c>
      <c r="E3" t="s">
        <v>50</v>
      </c>
      <c r="F3">
        <f>T_Bills!$B$7</f>
        <v>2.0524759729556585E-4</v>
      </c>
    </row>
    <row r="4" spans="1:6" x14ac:dyDescent="0.2">
      <c r="A4" t="s">
        <v>3</v>
      </c>
      <c r="B4" s="3">
        <v>0.30105867982563184</v>
      </c>
      <c r="C4">
        <f>F7*B4</f>
        <v>273850.8337335423</v>
      </c>
      <c r="E4" t="s">
        <v>69</v>
      </c>
      <c r="F4">
        <f>B8</f>
        <v>3.8556578703694642E-3</v>
      </c>
    </row>
    <row r="5" spans="1:6" x14ac:dyDescent="0.2">
      <c r="A5" t="s">
        <v>4</v>
      </c>
      <c r="B5" s="3">
        <v>-7.0839730675526333E-2</v>
      </c>
      <c r="C5">
        <f>F7*B5</f>
        <v>-64437.668158873057</v>
      </c>
      <c r="E5" t="s">
        <v>54</v>
      </c>
      <c r="F5">
        <f>B10</f>
        <v>1.6356627079431224E-2</v>
      </c>
    </row>
    <row r="6" spans="1:6" x14ac:dyDescent="0.2">
      <c r="A6" t="s">
        <v>5</v>
      </c>
      <c r="B6" s="3">
        <v>0.2091407219159403</v>
      </c>
      <c r="C6">
        <f>F7*B6</f>
        <v>190239.85987544668</v>
      </c>
      <c r="E6" t="s">
        <v>56</v>
      </c>
      <c r="F6">
        <f>(F4 - F3) / (F1 * F5^2)</f>
        <v>0.90962610309774861</v>
      </c>
    </row>
    <row r="7" spans="1:6" x14ac:dyDescent="0.2">
      <c r="A7" t="s">
        <v>6</v>
      </c>
      <c r="B7" s="3">
        <v>0.43324697205095386</v>
      </c>
      <c r="C7">
        <f>F7*B7</f>
        <v>394092.75486560835</v>
      </c>
      <c r="E7" t="s">
        <v>61</v>
      </c>
      <c r="F7" s="3">
        <f>F6*1000000</f>
        <v>909626.10309774859</v>
      </c>
    </row>
    <row r="8" spans="1:6" x14ac:dyDescent="0.2">
      <c r="A8" t="s">
        <v>21</v>
      </c>
      <c r="B8">
        <f>SUMPRODUCT(B2:B7, Stats_of_Stocks!B2:B7)</f>
        <v>3.8556578703694642E-3</v>
      </c>
      <c r="E8" t="s">
        <v>59</v>
      </c>
      <c r="F8">
        <f>(1-F6)*1000000</f>
        <v>90373.896902251392</v>
      </c>
    </row>
    <row r="9" spans="1:6" x14ac:dyDescent="0.2">
      <c r="A9" t="s">
        <v>22</v>
      </c>
      <c r="B9" cm="1">
        <f t="array" ref="B9">MMULT(TRANSPOSE(B2:B7), MMULT(CoVar!B2:G7, B2:B7))</f>
        <v>2.6753924941558277E-4</v>
      </c>
      <c r="E9" t="s">
        <v>63</v>
      </c>
      <c r="F9">
        <f>F6*F4+(1-F6)*F3</f>
        <v>3.5257560686997643E-3</v>
      </c>
    </row>
    <row r="10" spans="1:6" x14ac:dyDescent="0.2">
      <c r="A10" t="s">
        <v>23</v>
      </c>
      <c r="B10">
        <f>SQRT(B9)</f>
        <v>1.6356627079431224E-2</v>
      </c>
      <c r="E10" t="s">
        <v>65</v>
      </c>
      <c r="F10">
        <f>F6*F5</f>
        <v>1.4878414950086133E-2</v>
      </c>
    </row>
    <row r="11" spans="1:6" x14ac:dyDescent="0.2">
      <c r="A11" t="s">
        <v>24</v>
      </c>
      <c r="B11">
        <f>(B8 - T_Bills!$B$7) / B10</f>
        <v>0.22317622425129202</v>
      </c>
      <c r="E11" t="s">
        <v>67</v>
      </c>
      <c r="F11">
        <f>F9-(F1/2)*(F10^2)</f>
        <v>1.8655018329976653E-3</v>
      </c>
    </row>
    <row r="12" spans="1:6" x14ac:dyDescent="0.2">
      <c r="B12" s="3">
        <f>SUM(B2:B7)</f>
        <v>0.99999999999999989</v>
      </c>
      <c r="F12" s="3"/>
    </row>
    <row r="15" spans="1:6" ht="17" customHeight="1" x14ac:dyDescent="0.2">
      <c r="A15" s="11"/>
      <c r="B15" s="12"/>
      <c r="C15" s="12"/>
      <c r="D15" s="12"/>
      <c r="E15" s="12"/>
      <c r="F15" s="12"/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25A3E-1623-6B49-999A-0DAC27865E68}">
  <dimension ref="A1:E17"/>
  <sheetViews>
    <sheetView zoomScale="151" workbookViewId="0">
      <selection activeCell="A17" sqref="A17"/>
    </sheetView>
  </sheetViews>
  <sheetFormatPr baseColWidth="10" defaultRowHeight="15" x14ac:dyDescent="0.2"/>
  <cols>
    <col min="1" max="1" width="39" customWidth="1"/>
    <col min="2" max="2" width="21.83203125" customWidth="1"/>
    <col min="4" max="4" width="41.5" customWidth="1"/>
    <col min="5" max="5" width="21.5" customWidth="1"/>
  </cols>
  <sheetData>
    <row r="1" spans="1:5" x14ac:dyDescent="0.2">
      <c r="A1" t="s">
        <v>70</v>
      </c>
      <c r="D1" t="s">
        <v>71</v>
      </c>
    </row>
    <row r="2" spans="1:5" x14ac:dyDescent="0.2">
      <c r="A2" t="s">
        <v>46</v>
      </c>
      <c r="B2">
        <v>15</v>
      </c>
      <c r="D2" t="s">
        <v>46</v>
      </c>
      <c r="E2">
        <v>15</v>
      </c>
    </row>
    <row r="3" spans="1:5" x14ac:dyDescent="0.2">
      <c r="A3" t="s">
        <v>48</v>
      </c>
      <c r="B3">
        <v>1000000</v>
      </c>
      <c r="D3" t="s">
        <v>48</v>
      </c>
      <c r="E3">
        <v>1000000</v>
      </c>
    </row>
    <row r="4" spans="1:5" x14ac:dyDescent="0.2">
      <c r="A4" t="s">
        <v>50</v>
      </c>
      <c r="B4">
        <v>2.0524759729556585E-4</v>
      </c>
      <c r="D4" t="s">
        <v>50</v>
      </c>
      <c r="E4">
        <v>2.0524759729556585E-4</v>
      </c>
    </row>
    <row r="5" spans="1:5" x14ac:dyDescent="0.2">
      <c r="A5" t="s">
        <v>51</v>
      </c>
      <c r="B5">
        <v>3.7239768125097235E-3</v>
      </c>
      <c r="D5" t="s">
        <v>68</v>
      </c>
      <c r="E5">
        <v>3.8556578703694642E-3</v>
      </c>
    </row>
    <row r="6" spans="1:5" x14ac:dyDescent="0.2">
      <c r="A6" t="s">
        <v>53</v>
      </c>
      <c r="B6">
        <v>1.5925866427873987E-2</v>
      </c>
      <c r="D6" t="s">
        <v>53</v>
      </c>
      <c r="E6">
        <v>1.6356627079431224E-2</v>
      </c>
    </row>
    <row r="7" spans="1:5" x14ac:dyDescent="0.2">
      <c r="A7" t="s">
        <v>55</v>
      </c>
      <c r="B7">
        <v>0.92488652043890052</v>
      </c>
      <c r="D7" t="s">
        <v>55</v>
      </c>
      <c r="E7">
        <v>0.90962610309774861</v>
      </c>
    </row>
    <row r="8" spans="1:5" x14ac:dyDescent="0.2">
      <c r="A8" t="s">
        <v>60</v>
      </c>
      <c r="B8">
        <v>924886.52043890057</v>
      </c>
      <c r="D8" t="s">
        <v>60</v>
      </c>
      <c r="E8">
        <v>909626.10309774859</v>
      </c>
    </row>
    <row r="9" spans="1:5" x14ac:dyDescent="0.2">
      <c r="A9" t="s">
        <v>58</v>
      </c>
      <c r="B9">
        <v>75113.479561099477</v>
      </c>
      <c r="D9" t="s">
        <v>58</v>
      </c>
      <c r="E9">
        <v>90373.896902251392</v>
      </c>
    </row>
    <row r="10" spans="1:5" x14ac:dyDescent="0.2">
      <c r="A10" t="s">
        <v>62</v>
      </c>
      <c r="B10">
        <v>3.4596728175216914E-3</v>
      </c>
      <c r="D10" t="s">
        <v>62</v>
      </c>
      <c r="E10">
        <v>3.5257560686997643E-3</v>
      </c>
    </row>
    <row r="11" spans="1:5" x14ac:dyDescent="0.2">
      <c r="A11" t="s">
        <v>64</v>
      </c>
      <c r="B11">
        <v>1.4729619185451074E-2</v>
      </c>
      <c r="D11" t="s">
        <v>64</v>
      </c>
      <c r="E11">
        <v>1.4878414950086133E-2</v>
      </c>
    </row>
    <row r="12" spans="1:5" x14ac:dyDescent="0.2">
      <c r="A12" t="s">
        <v>66</v>
      </c>
      <c r="B12">
        <v>1.8324602074086299E-3</v>
      </c>
      <c r="D12" t="s">
        <v>66</v>
      </c>
      <c r="E12">
        <v>1.8655018329976653E-3</v>
      </c>
    </row>
    <row r="15" spans="1:5" x14ac:dyDescent="0.2">
      <c r="A15" t="s">
        <v>72</v>
      </c>
    </row>
    <row r="16" spans="1:5" x14ac:dyDescent="0.2">
      <c r="A16" t="s">
        <v>73</v>
      </c>
    </row>
    <row r="17" spans="1:1" x14ac:dyDescent="0.2">
      <c r="A17" s="9">
        <f>E12-B12</f>
        <v>3.3041625589035365E-5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WeeklyReturns</vt:lpstr>
      <vt:lpstr>T_Bills</vt:lpstr>
      <vt:lpstr>Stats_of_Stocks</vt:lpstr>
      <vt:lpstr>CoVar</vt:lpstr>
      <vt:lpstr>OptPortfolio</vt:lpstr>
      <vt:lpstr>Q2_WithShotSell</vt:lpstr>
      <vt:lpstr>Q3_Graph</vt:lpstr>
      <vt:lpstr>Q5_GMV_SolveWeights</vt:lpstr>
      <vt:lpstr>Q5_GMV_Graph</vt:lpstr>
      <vt:lpstr>Q6_NoShortSell</vt:lpstr>
      <vt:lpstr>Q6 Graph</vt:lpstr>
      <vt:lpstr>Q8_NoShortSell_Optimal_Portfoli</vt:lpstr>
      <vt:lpstr>Q9&amp;Q10_AllowingShortSell_Optima</vt:lpstr>
      <vt:lpstr>Q11_Certainty_Equivalent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Jack Li</cp:lastModifiedBy>
  <dcterms:created xsi:type="dcterms:W3CDTF">2025-11-16T04:00:08Z</dcterms:created>
  <dcterms:modified xsi:type="dcterms:W3CDTF">2025-11-29T02:38:25Z</dcterms:modified>
</cp:coreProperties>
</file>